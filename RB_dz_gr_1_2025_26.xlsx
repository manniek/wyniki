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yda\2025-2026_s2\"/>
    </mc:Choice>
  </mc:AlternateContent>
  <xr:revisionPtr revIDLastSave="0" documentId="13_ncr:1_{3D6FCDA6-9E38-4609-949E-B02CEF6887AB}" xr6:coauthVersionLast="47" xr6:coauthVersionMax="47" xr10:uidLastSave="{00000000-0000-0000-0000-000000000000}"/>
  <bookViews>
    <workbookView xWindow="-103" yWindow="-103" windowWidth="33120" windowHeight="18120" activeTab="1" xr2:uid="{00000000-000D-0000-FFFF-FFFF00000000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Q6" i="1" s="1"/>
  <c r="R6" i="1" s="1"/>
  <c r="P24" i="1"/>
  <c r="Q24" i="1" s="1"/>
  <c r="R24" i="1" s="1"/>
  <c r="P14" i="1"/>
  <c r="Q14" i="1" s="1"/>
  <c r="R14" i="1" s="1"/>
  <c r="P23" i="1"/>
  <c r="Q23" i="1" s="1"/>
  <c r="R23" i="1" s="1"/>
  <c r="P5" i="1"/>
  <c r="Q5" i="1" s="1"/>
  <c r="R5" i="1" s="1"/>
  <c r="P7" i="1"/>
  <c r="Q7" i="1" s="1"/>
  <c r="R7" i="1" s="1"/>
  <c r="P8" i="1"/>
  <c r="Q8" i="1" s="1"/>
  <c r="R8" i="1" s="1"/>
  <c r="P9" i="1"/>
  <c r="Q9" i="1" s="1"/>
  <c r="R9" i="1" s="1"/>
  <c r="P11" i="1"/>
  <c r="Q11" i="1" s="1"/>
  <c r="R11" i="1" s="1"/>
  <c r="P12" i="1"/>
  <c r="Q12" i="1" s="1"/>
  <c r="R12" i="1" s="1"/>
  <c r="P13" i="1"/>
  <c r="Q13" i="1" s="1"/>
  <c r="R13" i="1" s="1"/>
  <c r="P15" i="1"/>
  <c r="Q15" i="1" s="1"/>
  <c r="R15" i="1" s="1"/>
  <c r="P16" i="1"/>
  <c r="Q16" i="1" s="1"/>
  <c r="R16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30" i="1"/>
  <c r="Q30" i="1" s="1"/>
  <c r="R30" i="1" s="1"/>
  <c r="P31" i="1"/>
  <c r="Q31" i="1" s="1"/>
  <c r="R31" i="1" s="1"/>
  <c r="P29" i="1"/>
  <c r="Q29" i="1" s="1"/>
  <c r="R29" i="1" s="1"/>
  <c r="P10" i="1"/>
  <c r="Q10" i="1" s="1"/>
  <c r="R10" i="1" s="1"/>
  <c r="P17" i="1"/>
  <c r="Q17" i="1" s="1"/>
  <c r="R17" i="1" s="1"/>
  <c r="P4" i="1" l="1"/>
  <c r="Q4" i="1" s="1"/>
  <c r="R4" i="1" s="1"/>
</calcChain>
</file>

<file path=xl/sharedStrings.xml><?xml version="1.0" encoding="utf-8"?>
<sst xmlns="http://schemas.openxmlformats.org/spreadsheetml/2006/main" count="99" uniqueCount="88">
  <si>
    <t>Lp.</t>
  </si>
  <si>
    <t>NAZWISKO I IMIĘ</t>
  </si>
  <si>
    <t>Akt. (10)</t>
  </si>
  <si>
    <t>Efekty uczenia się</t>
  </si>
  <si>
    <t>Pkt</t>
  </si>
  <si>
    <t>M1</t>
  </si>
  <si>
    <t>M2</t>
  </si>
  <si>
    <t>Ocena</t>
  </si>
  <si>
    <t>Uwagi</t>
  </si>
  <si>
    <t>Liczby zesp.</t>
  </si>
  <si>
    <t>całka nieozn.</t>
  </si>
  <si>
    <t>całka oznacz.</t>
  </si>
  <si>
    <t>geometria an.</t>
  </si>
  <si>
    <t>f(x,y)</t>
  </si>
  <si>
    <t>równ. róż.</t>
  </si>
  <si>
    <t>a</t>
  </si>
  <si>
    <t>b, c</t>
  </si>
  <si>
    <t>Punkty</t>
  </si>
  <si>
    <t>ocena w USOS</t>
  </si>
  <si>
    <t>[0; 40]</t>
  </si>
  <si>
    <t>(40; 52]</t>
  </si>
  <si>
    <t xml:space="preserve">żółta - przepisana </t>
  </si>
  <si>
    <t>(52; 64]</t>
  </si>
  <si>
    <t>3.5</t>
  </si>
  <si>
    <t>(64; 76]</t>
  </si>
  <si>
    <t>poprawa 1</t>
  </si>
  <si>
    <t>(76; 88]</t>
  </si>
  <si>
    <t>4.5</t>
  </si>
  <si>
    <t>(88; 100]</t>
  </si>
  <si>
    <t>poprawa 2</t>
  </si>
  <si>
    <t>poprawa 3</t>
  </si>
  <si>
    <t>poprawa 4</t>
  </si>
  <si>
    <t>BARADZIEJ Arkadiusz Jan</t>
  </si>
  <si>
    <t>BARTECZKO Kaja Danuta</t>
  </si>
  <si>
    <t>BYTOMSKI Łukasz Józef</t>
  </si>
  <si>
    <t>CZECHOWSKA Katarzyna</t>
  </si>
  <si>
    <t>CZUBA Aleksandra Bernadeta</t>
  </si>
  <si>
    <t>FRĄC Mateusz Karol</t>
  </si>
  <si>
    <t>GŁOWACKA Magda</t>
  </si>
  <si>
    <t>GÓRNY Szymon Piotr</t>
  </si>
  <si>
    <t>HAIDA Erik Konrad</t>
  </si>
  <si>
    <t>JACHOWICZ Julia Aleksandra</t>
  </si>
  <si>
    <t>KANIA Patrycja Bernadeta</t>
  </si>
  <si>
    <t>KURZAK Igor Marcin</t>
  </si>
  <si>
    <t>LUBAS Michał Benedykt</t>
  </si>
  <si>
    <t>MACIEJEWSKA Hanna Anna</t>
  </si>
  <si>
    <t>MACIOSEK Maximilian Florian</t>
  </si>
  <si>
    <t>MAKOSZ Maja Anna</t>
  </si>
  <si>
    <t>OBALEK Karol Jan</t>
  </si>
  <si>
    <t>PAMUŁA Łukasz Adam</t>
  </si>
  <si>
    <t>PIEC Patryk Mateusz</t>
  </si>
  <si>
    <t>RACZKOWSKI Wiktor Tomasz</t>
  </si>
  <si>
    <t>SINKA Artur Tomasz</t>
  </si>
  <si>
    <t>TATAROWICZ Olivier Adam</t>
  </si>
  <si>
    <t>TOKARZ Jędrzej Konrad</t>
  </si>
  <si>
    <t>TOMALA Wojciech Marek</t>
  </si>
  <si>
    <t>URBAN Szymon Krzysztof</t>
  </si>
  <si>
    <t>ZIELIŃSKI Bartłomiej Przemysław</t>
  </si>
  <si>
    <t>ŹRÓDŁOWSKI Maksymilian Kamil</t>
  </si>
  <si>
    <t>BEKUS Dominik</t>
  </si>
  <si>
    <t>edf926c9cf15c136b7527b60f3650fd10e9e7c5d3b55f40ca78783cc8b2086af</t>
  </si>
  <si>
    <t>aaef2fc471414d4c9322a8b286731301481cba8adc3aa1d10be86b45067e899d</t>
  </si>
  <si>
    <t>33a9a16dceee5d2eb718e9bb27766a3594076479bc0cf0be03664c60378e29a6</t>
  </si>
  <si>
    <t>698290d710a4695822611548adb856a6bbb4c09616d7e1b528c4f433b001d0e2</t>
  </si>
  <si>
    <t>fb4f219890ac5d30a961fdbce0754201ea42be6e858e51d6f4d5d7f101239e8f</t>
  </si>
  <si>
    <t>73417bab8eb74fa4c3b165452e5ea11110fc9e0009e9fbabd35368c358fba363</t>
  </si>
  <si>
    <t>6ae592315ef6616d5daf0a9c8517cd8b453016729236bc4429f52ac0b8b9ce76</t>
  </si>
  <si>
    <t>ad85fd3f00af88d617299b62d691064ce5de3e680daa012ee01551f55fbfa81c</t>
  </si>
  <si>
    <t>343e28af83a07d17fa7491c6904f996a1688f4c32dd11df1e48781f990566b37</t>
  </si>
  <si>
    <t>97c96257667917ec5e073518f62a95431dbc5d9b5d9d05887f852e968720fe12</t>
  </si>
  <si>
    <t>deef0d57ce5f53615680f32bd4df6e6e0da916d5dd63b2ac509baf6c51599efa</t>
  </si>
  <si>
    <t>93881f913e698560d43557db426a8e46170cd90107fa67b1d394a77490845805</t>
  </si>
  <si>
    <t>fb3dc2141c7d8a3da4a5892f7919ac2f730bf8ff83e7a98ea6d672efd623b4c4</t>
  </si>
  <si>
    <t>545a32f45d3806c119228a6bdb8e42ad952d15518c02463dbe25937bed80cf18</t>
  </si>
  <si>
    <t>b11eb5029411e5b2d08269130587dfddf3eeaf68a76fcf711181dca79b374227</t>
  </si>
  <si>
    <t>ac89c49928f9498c3469634061252a9cefa082cf6b96d8fe59ff95e940126b72</t>
  </si>
  <si>
    <t>67fabeb8891b391c177aad4fc6bc1d2f24d7391acf95420e52fba93da0a5fc6d</t>
  </si>
  <si>
    <t>8a6025f598c6dc7a67126668f16836c427672fa002389514bd8c29cd6b3b1fbf</t>
  </si>
  <si>
    <t>ac47604d4ff58be5cc86f30b13fa535c9ee3c5d5aea60c30e3a7d55ed4127b36</t>
  </si>
  <si>
    <t>a6f5fad379c95eec374b5fa04d12869ed177199a7f8eb3ffbcfe5bfb3a6c7f35</t>
  </si>
  <si>
    <t>f8b5e1a3e89b623b5424949ee0cc6ea86227be30583cdc9ec79f7bb64fd169fd</t>
  </si>
  <si>
    <t>7607daf26b4ab389fc4e18a544fb512ed00ffb3314ab460ed20ceea764d6338b</t>
  </si>
  <si>
    <t>279461ebd37f3a1d60f94daad315cfa0ef07c85fb8f31a6afe5ceeb13f92156c</t>
  </si>
  <si>
    <t>3cad81f4417fee30e87fa81206c4c2273d667dca397f9891e21bd101df55fcd0</t>
  </si>
  <si>
    <t>422b8148265db22fb30cebf42709e29fb66cd9bacb19e2f185f136e03c2dca09</t>
  </si>
  <si>
    <t>76da9ee8167f2e6af4e6d401f59d5fc99989be1f8f8e549da30af6163d603c79</t>
  </si>
  <si>
    <t>251e2d016ee88060c4cf52b3b6cdb3f83c233326be92af5f8a9180d8f5e2f5ba</t>
  </si>
  <si>
    <t>9b163a37e6eb32daf4c4f5e94adb1731e89abf81d29a68dee2e4dd84f8a8808f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</si>
</sst>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3"/>
      <color theme="1"/>
      <name val="Calibri"/>
      <family val="2"/>
      <charset val="238"/>
      <scheme val="minor"/>
    </font>
    <font>
      <sz val="13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931A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31A3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9" borderId="6" xfId="0" applyFill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1" fillId="0" borderId="7" xfId="0" applyFont="1" applyBorder="1"/>
    <xf numFmtId="0" fontId="2" fillId="0" borderId="7" xfId="0" applyFont="1" applyBorder="1"/>
    <xf numFmtId="0" fontId="0" fillId="11" borderId="6" xfId="0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1" fillId="0" borderId="0" xfId="0" applyFont="1"/>
    <xf numFmtId="0" fontId="3" fillId="16" borderId="9" xfId="0" applyFont="1" applyFill="1" applyBorder="1" applyAlignment="1">
      <alignment horizontal="center" vertical="center"/>
    </xf>
    <xf numFmtId="0" fontId="3" fillId="16" borderId="10" xfId="0" applyFont="1" applyFill="1" applyBorder="1" applyAlignment="1">
      <alignment horizontal="center" vertical="center"/>
    </xf>
    <xf numFmtId="0" fontId="3" fillId="17" borderId="10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3" fillId="19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ny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31A3"/>
      <color rgb="FFB041ED"/>
      <color rgb="FF05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4"/>
  <sheetViews>
    <sheetView zoomScaleNormal="100" workbookViewId="0">
      <pane ySplit="3" topLeftCell="A7" activePane="bottomLeft" state="frozen"/>
      <selection pane="bottomLeft" activeCell="A4" sqref="A4:B31"/>
    </sheetView>
  </sheetViews>
  <sheetFormatPr defaultRowHeight="14.6" x14ac:dyDescent="0.4"/>
  <cols>
    <col min="1" max="1" width="3.53515625" bestFit="1" customWidth="1"/>
    <col min="2" max="2" width="34.69140625" bestFit="1" customWidth="1"/>
    <col min="3" max="3" width="8.3828125" bestFit="1" customWidth="1"/>
    <col min="4" max="15" width="6.69140625" customWidth="1"/>
    <col min="20" max="20" width="20.69140625" customWidth="1"/>
  </cols>
  <sheetData>
    <row r="1" spans="1:23" x14ac:dyDescent="0.4">
      <c r="A1" s="34" t="s">
        <v>0</v>
      </c>
      <c r="B1" s="34" t="s">
        <v>1</v>
      </c>
      <c r="C1" s="34" t="s">
        <v>2</v>
      </c>
      <c r="D1" s="41" t="s">
        <v>3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  <c r="P1" s="34" t="s">
        <v>4</v>
      </c>
      <c r="Q1" s="34" t="s">
        <v>5</v>
      </c>
      <c r="R1" s="34" t="s">
        <v>7</v>
      </c>
      <c r="S1" s="34" t="s">
        <v>6</v>
      </c>
      <c r="T1" s="34" t="s">
        <v>8</v>
      </c>
    </row>
    <row r="2" spans="1:23" x14ac:dyDescent="0.4">
      <c r="A2" s="37"/>
      <c r="B2" s="37"/>
      <c r="C2" s="35"/>
      <c r="D2" s="39" t="s">
        <v>9</v>
      </c>
      <c r="E2" s="40"/>
      <c r="F2" s="39" t="s">
        <v>10</v>
      </c>
      <c r="G2" s="44"/>
      <c r="H2" s="39" t="s">
        <v>11</v>
      </c>
      <c r="I2" s="40"/>
      <c r="J2" s="39" t="s">
        <v>12</v>
      </c>
      <c r="K2" s="40"/>
      <c r="L2" s="39" t="s">
        <v>13</v>
      </c>
      <c r="M2" s="40"/>
      <c r="N2" s="39" t="s">
        <v>14</v>
      </c>
      <c r="O2" s="44"/>
      <c r="P2" s="35"/>
      <c r="Q2" s="35"/>
      <c r="R2" s="35"/>
      <c r="S2" s="35"/>
      <c r="T2" s="35"/>
    </row>
    <row r="3" spans="1:23" ht="15" thickBot="1" x14ac:dyDescent="0.45">
      <c r="A3" s="38"/>
      <c r="B3" s="38"/>
      <c r="C3" s="36"/>
      <c r="D3" s="12" t="s">
        <v>15</v>
      </c>
      <c r="E3" s="10" t="s">
        <v>16</v>
      </c>
      <c r="F3" s="11" t="s">
        <v>15</v>
      </c>
      <c r="G3" s="13" t="s">
        <v>16</v>
      </c>
      <c r="H3" s="12" t="s">
        <v>15</v>
      </c>
      <c r="I3" s="13" t="s">
        <v>16</v>
      </c>
      <c r="J3" s="12" t="s">
        <v>15</v>
      </c>
      <c r="K3" s="10" t="s">
        <v>16</v>
      </c>
      <c r="L3" s="12" t="s">
        <v>15</v>
      </c>
      <c r="M3" s="10" t="s">
        <v>16</v>
      </c>
      <c r="N3" s="11" t="s">
        <v>15</v>
      </c>
      <c r="O3" s="13" t="s">
        <v>16</v>
      </c>
      <c r="P3" s="36"/>
      <c r="Q3" s="36"/>
      <c r="R3" s="36"/>
      <c r="S3" s="36"/>
      <c r="T3" s="36"/>
    </row>
    <row r="4" spans="1:23" ht="24" customHeight="1" thickBot="1" x14ac:dyDescent="0.5">
      <c r="A4" s="14">
        <v>1</v>
      </c>
      <c r="B4" s="17" t="s">
        <v>32</v>
      </c>
      <c r="C4" s="20">
        <v>10</v>
      </c>
      <c r="D4" s="26">
        <v>5</v>
      </c>
      <c r="E4" s="24"/>
      <c r="F4" s="26">
        <v>5</v>
      </c>
      <c r="G4" s="24">
        <v>5.5</v>
      </c>
      <c r="H4" s="26">
        <v>4.5</v>
      </c>
      <c r="I4" s="24">
        <v>5</v>
      </c>
      <c r="J4" s="26">
        <v>4.5</v>
      </c>
      <c r="K4" s="24">
        <v>3.5</v>
      </c>
      <c r="L4" s="26">
        <v>5</v>
      </c>
      <c r="M4" s="24">
        <v>6.5</v>
      </c>
      <c r="N4" s="26">
        <v>5</v>
      </c>
      <c r="O4" s="24">
        <v>10</v>
      </c>
      <c r="P4" s="1">
        <f t="shared" ref="P4:P31" si="0">IF(C4&lt;0,0,C4)+SUM(D4:O4)</f>
        <v>69.5</v>
      </c>
      <c r="Q4" s="1">
        <f t="shared" ref="Q4:Q31" si="1">IF(OR(P4&lt;=40,D4+E4&lt;4.5,F4+G4&lt;4.5,H4+I4&lt;4.5,J4+K4&lt;4.5,L4+M4&lt;4.5,N4+O4&lt;4.5), " ",IF(P4&gt;88,5,IF(P4&gt;76,4.5,IF(P4&gt;64,4,IF(P4&gt;52,3.5,3)))))</f>
        <v>4</v>
      </c>
      <c r="R4" s="32" t="str">
        <f t="shared" ref="R4:R31" si="2">IF(OR(Q4=" ",S4="")," ",IF((2*Q4+S4)/3&gt;=4.75,"bdb",IF((2*Q4+S4)/3&gt;=4.25,"db+",IF((2*Q4+S4)/3&gt;=3.75,"db",IF((2*Q4+S4)/3&gt;=3.25,"dost+","dost")))))</f>
        <v>db+</v>
      </c>
      <c r="S4" s="1">
        <v>5</v>
      </c>
      <c r="T4" s="1"/>
    </row>
    <row r="5" spans="1:23" ht="24" customHeight="1" thickBot="1" x14ac:dyDescent="0.5">
      <c r="A5" s="14">
        <v>2</v>
      </c>
      <c r="B5" s="17" t="s">
        <v>33</v>
      </c>
      <c r="C5" s="20">
        <v>10</v>
      </c>
      <c r="D5" s="26">
        <v>5</v>
      </c>
      <c r="E5" s="24">
        <v>9.5</v>
      </c>
      <c r="F5" s="26">
        <v>5</v>
      </c>
      <c r="G5" s="24">
        <v>1</v>
      </c>
      <c r="H5" s="26">
        <v>5</v>
      </c>
      <c r="I5" s="24">
        <v>4.5</v>
      </c>
      <c r="J5" s="26">
        <v>5</v>
      </c>
      <c r="K5" s="24"/>
      <c r="L5" s="26">
        <v>5</v>
      </c>
      <c r="M5" s="24">
        <v>7</v>
      </c>
      <c r="N5" s="26">
        <v>4.5</v>
      </c>
      <c r="O5" s="24">
        <v>5</v>
      </c>
      <c r="P5" s="1">
        <f t="shared" si="0"/>
        <v>66.5</v>
      </c>
      <c r="Q5" s="1">
        <f t="shared" si="1"/>
        <v>4</v>
      </c>
      <c r="R5" s="32" t="str">
        <f t="shared" si="2"/>
        <v>db+</v>
      </c>
      <c r="S5" s="1">
        <v>5</v>
      </c>
      <c r="T5" s="1"/>
    </row>
    <row r="6" spans="1:23" ht="24" customHeight="1" thickBot="1" x14ac:dyDescent="0.5">
      <c r="A6" s="14">
        <v>3</v>
      </c>
      <c r="B6" s="17" t="s">
        <v>59</v>
      </c>
      <c r="C6" s="20">
        <v>1</v>
      </c>
      <c r="D6" s="22">
        <v>5</v>
      </c>
      <c r="E6" s="21"/>
      <c r="F6" s="22">
        <v>5</v>
      </c>
      <c r="G6" s="21">
        <v>8.5</v>
      </c>
      <c r="H6" s="22">
        <v>5</v>
      </c>
      <c r="I6" s="21">
        <v>4.5</v>
      </c>
      <c r="J6" s="22">
        <v>5</v>
      </c>
      <c r="K6" s="21"/>
      <c r="L6" s="22">
        <v>5</v>
      </c>
      <c r="M6" s="21"/>
      <c r="N6" s="22"/>
      <c r="O6" s="21">
        <v>5</v>
      </c>
      <c r="P6" s="1">
        <f t="shared" si="0"/>
        <v>44</v>
      </c>
      <c r="Q6" s="1">
        <f t="shared" si="1"/>
        <v>3</v>
      </c>
      <c r="R6" s="32" t="str">
        <f t="shared" si="2"/>
        <v>dost+</v>
      </c>
      <c r="S6" s="1">
        <v>4.5</v>
      </c>
      <c r="T6" s="1"/>
      <c r="V6" s="2" t="s">
        <v>17</v>
      </c>
      <c r="W6" s="3" t="s">
        <v>7</v>
      </c>
    </row>
    <row r="7" spans="1:23" ht="24" customHeight="1" thickBot="1" x14ac:dyDescent="0.5">
      <c r="A7" s="14">
        <v>4</v>
      </c>
      <c r="B7" s="17" t="s">
        <v>34</v>
      </c>
      <c r="C7" s="20"/>
      <c r="D7" s="26">
        <v>5</v>
      </c>
      <c r="E7" s="24">
        <v>1.5</v>
      </c>
      <c r="F7" s="28">
        <v>4.5</v>
      </c>
      <c r="G7" s="24"/>
      <c r="H7" s="26">
        <v>5</v>
      </c>
      <c r="I7" s="24"/>
      <c r="J7" s="26">
        <v>4.5</v>
      </c>
      <c r="K7" s="24">
        <v>5</v>
      </c>
      <c r="L7" s="26">
        <v>4.5</v>
      </c>
      <c r="M7" s="24">
        <v>3.5</v>
      </c>
      <c r="N7" s="26">
        <v>5</v>
      </c>
      <c r="O7" s="24">
        <v>5</v>
      </c>
      <c r="P7" s="1">
        <f t="shared" si="0"/>
        <v>43.5</v>
      </c>
      <c r="Q7" s="1">
        <f t="shared" si="1"/>
        <v>3</v>
      </c>
      <c r="R7" s="32" t="str">
        <f t="shared" si="2"/>
        <v>dost+</v>
      </c>
      <c r="S7" s="1">
        <v>5</v>
      </c>
      <c r="T7" s="25" t="s">
        <v>18</v>
      </c>
      <c r="V7" s="4" t="s">
        <v>19</v>
      </c>
      <c r="W7" s="4">
        <v>2</v>
      </c>
    </row>
    <row r="8" spans="1:23" ht="24" customHeight="1" thickBot="1" x14ac:dyDescent="0.5">
      <c r="A8" s="14">
        <v>5</v>
      </c>
      <c r="B8" s="17" t="s">
        <v>35</v>
      </c>
      <c r="C8" s="20"/>
      <c r="D8" s="26">
        <v>4.5</v>
      </c>
      <c r="E8" s="24"/>
      <c r="F8" s="31">
        <v>4.5</v>
      </c>
      <c r="G8" s="30">
        <v>6</v>
      </c>
      <c r="H8" s="26">
        <v>4.5</v>
      </c>
      <c r="I8" s="29">
        <v>2</v>
      </c>
      <c r="J8" s="26">
        <v>4.5</v>
      </c>
      <c r="K8" s="24">
        <v>5</v>
      </c>
      <c r="L8" s="26">
        <v>4.5</v>
      </c>
      <c r="M8" s="24">
        <v>3</v>
      </c>
      <c r="N8" s="26">
        <v>5</v>
      </c>
      <c r="O8" s="24"/>
      <c r="P8" s="1">
        <f t="shared" si="0"/>
        <v>43.5</v>
      </c>
      <c r="Q8" s="1">
        <f t="shared" si="1"/>
        <v>3</v>
      </c>
      <c r="R8" s="32" t="str">
        <f t="shared" si="2"/>
        <v>dost+</v>
      </c>
      <c r="S8" s="1">
        <v>5</v>
      </c>
      <c r="V8" s="2" t="s">
        <v>20</v>
      </c>
      <c r="W8" s="2">
        <v>3</v>
      </c>
    </row>
    <row r="9" spans="1:23" ht="24" customHeight="1" thickBot="1" x14ac:dyDescent="0.5">
      <c r="A9" s="14">
        <v>6</v>
      </c>
      <c r="B9" s="17" t="s">
        <v>36</v>
      </c>
      <c r="C9" s="20">
        <v>1</v>
      </c>
      <c r="D9" s="26">
        <v>5</v>
      </c>
      <c r="E9" s="24">
        <v>4</v>
      </c>
      <c r="F9" s="28">
        <v>4.5</v>
      </c>
      <c r="G9" s="30">
        <v>5</v>
      </c>
      <c r="H9" s="26">
        <v>5</v>
      </c>
      <c r="I9" s="24">
        <v>0.5</v>
      </c>
      <c r="J9" s="26">
        <v>5</v>
      </c>
      <c r="K9" s="24"/>
      <c r="L9" s="26">
        <v>5</v>
      </c>
      <c r="M9" s="24">
        <v>4</v>
      </c>
      <c r="N9" s="26">
        <v>5</v>
      </c>
      <c r="O9" s="24"/>
      <c r="P9" s="1">
        <f t="shared" si="0"/>
        <v>44</v>
      </c>
      <c r="Q9" s="1">
        <f t="shared" si="1"/>
        <v>3</v>
      </c>
      <c r="R9" s="32" t="str">
        <f t="shared" si="2"/>
        <v>dost+</v>
      </c>
      <c r="S9" s="1">
        <v>5</v>
      </c>
      <c r="T9" s="8" t="s">
        <v>21</v>
      </c>
      <c r="V9" s="3" t="s">
        <v>22</v>
      </c>
      <c r="W9" s="3" t="s">
        <v>23</v>
      </c>
    </row>
    <row r="10" spans="1:23" ht="24" customHeight="1" thickBot="1" x14ac:dyDescent="0.5">
      <c r="A10" s="14">
        <v>7</v>
      </c>
      <c r="B10" s="27" t="s">
        <v>37</v>
      </c>
      <c r="C10" s="20"/>
      <c r="D10" s="26">
        <v>5</v>
      </c>
      <c r="E10" s="24">
        <v>6</v>
      </c>
      <c r="F10" s="26">
        <v>5</v>
      </c>
      <c r="G10" s="24">
        <v>6</v>
      </c>
      <c r="H10" s="26">
        <v>4.5</v>
      </c>
      <c r="I10" s="24">
        <v>2.5</v>
      </c>
      <c r="J10" s="26">
        <v>4.5</v>
      </c>
      <c r="K10" s="24"/>
      <c r="L10" s="26">
        <v>5</v>
      </c>
      <c r="M10" s="24">
        <v>5</v>
      </c>
      <c r="N10" s="26">
        <v>5</v>
      </c>
      <c r="O10" s="24"/>
      <c r="P10" s="1">
        <f t="shared" si="0"/>
        <v>48.5</v>
      </c>
      <c r="Q10" s="1">
        <f t="shared" si="1"/>
        <v>3</v>
      </c>
      <c r="R10" s="32" t="str">
        <f t="shared" si="2"/>
        <v>dost+</v>
      </c>
      <c r="S10" s="1">
        <v>5</v>
      </c>
      <c r="V10" s="5" t="s">
        <v>24</v>
      </c>
      <c r="W10" s="5">
        <v>4</v>
      </c>
    </row>
    <row r="11" spans="1:23" ht="24" customHeight="1" thickBot="1" x14ac:dyDescent="0.5">
      <c r="A11" s="14">
        <v>8</v>
      </c>
      <c r="B11" s="18" t="s">
        <v>38</v>
      </c>
      <c r="C11" s="20"/>
      <c r="D11" s="26">
        <v>5</v>
      </c>
      <c r="E11" s="24">
        <v>10</v>
      </c>
      <c r="F11" s="26">
        <v>4.5</v>
      </c>
      <c r="G11" s="24"/>
      <c r="H11" s="26">
        <v>5</v>
      </c>
      <c r="I11" s="24">
        <v>8.5</v>
      </c>
      <c r="J11" s="26">
        <v>4.5</v>
      </c>
      <c r="K11" s="24"/>
      <c r="L11" s="26">
        <v>5</v>
      </c>
      <c r="M11" s="24"/>
      <c r="N11" s="26">
        <v>4.5</v>
      </c>
      <c r="O11" s="24"/>
      <c r="P11" s="1">
        <f t="shared" si="0"/>
        <v>47</v>
      </c>
      <c r="Q11" s="1">
        <f t="shared" si="1"/>
        <v>3</v>
      </c>
      <c r="R11" s="32" t="str">
        <f t="shared" si="2"/>
        <v>dost+</v>
      </c>
      <c r="S11" s="1">
        <v>5</v>
      </c>
      <c r="T11" s="19" t="s">
        <v>25</v>
      </c>
      <c r="V11" s="6" t="s">
        <v>26</v>
      </c>
      <c r="W11" s="6" t="s">
        <v>27</v>
      </c>
    </row>
    <row r="12" spans="1:23" ht="24" customHeight="1" thickBot="1" x14ac:dyDescent="0.5">
      <c r="A12" s="14">
        <v>9</v>
      </c>
      <c r="B12" s="18" t="s">
        <v>39</v>
      </c>
      <c r="C12" s="20">
        <v>3</v>
      </c>
      <c r="D12" s="26"/>
      <c r="E12" s="24"/>
      <c r="F12" s="26"/>
      <c r="G12" s="24"/>
      <c r="H12" s="26"/>
      <c r="I12" s="24"/>
      <c r="J12" s="26"/>
      <c r="K12" s="24"/>
      <c r="L12" s="26"/>
      <c r="M12" s="24"/>
      <c r="N12" s="26"/>
      <c r="O12" s="24"/>
      <c r="P12" s="1">
        <f t="shared" si="0"/>
        <v>3</v>
      </c>
      <c r="Q12" s="1" t="str">
        <f t="shared" si="1"/>
        <v xml:space="preserve"> </v>
      </c>
      <c r="R12" s="15" t="str">
        <f t="shared" si="2"/>
        <v xml:space="preserve"> </v>
      </c>
      <c r="S12" s="1"/>
      <c r="V12" s="7" t="s">
        <v>28</v>
      </c>
      <c r="W12" s="7">
        <v>5</v>
      </c>
    </row>
    <row r="13" spans="1:23" ht="24" customHeight="1" thickBot="1" x14ac:dyDescent="0.5">
      <c r="A13" s="14">
        <v>10</v>
      </c>
      <c r="B13" s="17" t="s">
        <v>40</v>
      </c>
      <c r="C13" s="20"/>
      <c r="D13" s="26">
        <v>4.5</v>
      </c>
      <c r="E13" s="24">
        <v>3</v>
      </c>
      <c r="F13" s="26">
        <v>4.5</v>
      </c>
      <c r="G13" s="24"/>
      <c r="H13" s="26">
        <v>5</v>
      </c>
      <c r="I13" s="24">
        <v>1</v>
      </c>
      <c r="J13" s="26"/>
      <c r="K13" s="24">
        <v>5</v>
      </c>
      <c r="L13" s="26">
        <v>4.5</v>
      </c>
      <c r="M13" s="24">
        <v>3.5</v>
      </c>
      <c r="N13" s="26">
        <v>4.5</v>
      </c>
      <c r="O13" s="24">
        <v>5</v>
      </c>
      <c r="P13" s="1">
        <f t="shared" si="0"/>
        <v>40.5</v>
      </c>
      <c r="Q13" s="1">
        <f t="shared" si="1"/>
        <v>3</v>
      </c>
      <c r="R13" s="32" t="str">
        <f t="shared" si="2"/>
        <v>dost+</v>
      </c>
      <c r="S13" s="1">
        <v>4.5</v>
      </c>
      <c r="T13" s="7" t="s">
        <v>29</v>
      </c>
    </row>
    <row r="14" spans="1:23" ht="24" customHeight="1" thickBot="1" x14ac:dyDescent="0.5">
      <c r="A14" s="14">
        <v>11</v>
      </c>
      <c r="B14" s="17" t="s">
        <v>41</v>
      </c>
      <c r="C14" s="20"/>
      <c r="D14" s="26">
        <v>5</v>
      </c>
      <c r="E14" s="30">
        <v>2</v>
      </c>
      <c r="F14" s="31">
        <v>4.5</v>
      </c>
      <c r="G14" s="30">
        <v>9.5</v>
      </c>
      <c r="H14" s="33">
        <v>5</v>
      </c>
      <c r="I14" s="29">
        <v>1</v>
      </c>
      <c r="J14" s="28">
        <v>5</v>
      </c>
      <c r="K14" s="30">
        <v>2.5</v>
      </c>
      <c r="L14" s="28">
        <v>4.5</v>
      </c>
      <c r="M14" s="24"/>
      <c r="N14" s="26">
        <v>5</v>
      </c>
      <c r="O14" s="30">
        <v>4.5</v>
      </c>
      <c r="P14" s="1">
        <f t="shared" si="0"/>
        <v>48.5</v>
      </c>
      <c r="Q14" s="1">
        <f t="shared" si="1"/>
        <v>3</v>
      </c>
      <c r="R14" s="32" t="str">
        <f t="shared" si="2"/>
        <v>dost+</v>
      </c>
      <c r="S14" s="1">
        <v>4.5</v>
      </c>
    </row>
    <row r="15" spans="1:23" ht="24" customHeight="1" thickBot="1" x14ac:dyDescent="0.5">
      <c r="A15" s="14">
        <v>12</v>
      </c>
      <c r="B15" s="18" t="s">
        <v>42</v>
      </c>
      <c r="C15" s="20"/>
      <c r="D15" s="26">
        <v>5</v>
      </c>
      <c r="E15" s="24">
        <v>4</v>
      </c>
      <c r="F15" s="26">
        <v>4.5</v>
      </c>
      <c r="G15" s="24">
        <v>4.5</v>
      </c>
      <c r="H15" s="26">
        <v>5</v>
      </c>
      <c r="I15" s="24">
        <v>3.5</v>
      </c>
      <c r="J15" s="26">
        <v>5</v>
      </c>
      <c r="K15" s="24"/>
      <c r="L15" s="26">
        <v>5</v>
      </c>
      <c r="M15" s="24">
        <v>4.5</v>
      </c>
      <c r="N15" s="26">
        <v>4.5</v>
      </c>
      <c r="O15" s="24"/>
      <c r="P15" s="1">
        <f t="shared" si="0"/>
        <v>45.5</v>
      </c>
      <c r="Q15" s="1">
        <f t="shared" si="1"/>
        <v>3</v>
      </c>
      <c r="R15" s="32" t="str">
        <f t="shared" si="2"/>
        <v>dost+</v>
      </c>
      <c r="S15" s="1">
        <v>5</v>
      </c>
      <c r="T15" s="23" t="s">
        <v>30</v>
      </c>
    </row>
    <row r="16" spans="1:23" ht="24" customHeight="1" thickBot="1" x14ac:dyDescent="0.5">
      <c r="A16" s="14">
        <v>13</v>
      </c>
      <c r="B16" s="17" t="s">
        <v>43</v>
      </c>
      <c r="C16" s="20">
        <v>6</v>
      </c>
      <c r="D16" s="26">
        <v>5</v>
      </c>
      <c r="E16" s="24">
        <v>5.5</v>
      </c>
      <c r="F16" s="26">
        <v>4.5</v>
      </c>
      <c r="G16" s="24"/>
      <c r="H16" s="26">
        <v>4.5</v>
      </c>
      <c r="I16" s="24"/>
      <c r="J16" s="26">
        <v>5</v>
      </c>
      <c r="K16" s="24">
        <v>10</v>
      </c>
      <c r="L16" s="26">
        <v>5</v>
      </c>
      <c r="M16" s="24"/>
      <c r="N16" s="26">
        <v>4.5</v>
      </c>
      <c r="O16" s="24">
        <v>2.5</v>
      </c>
      <c r="P16" s="1">
        <f t="shared" si="0"/>
        <v>52.5</v>
      </c>
      <c r="Q16" s="1">
        <f t="shared" si="1"/>
        <v>3.5</v>
      </c>
      <c r="R16" s="32" t="str">
        <f t="shared" si="2"/>
        <v>db</v>
      </c>
      <c r="S16" s="1">
        <v>5</v>
      </c>
    </row>
    <row r="17" spans="1:20" ht="24" customHeight="1" thickBot="1" x14ac:dyDescent="0.5">
      <c r="A17" s="14">
        <v>14</v>
      </c>
      <c r="B17" s="17" t="s">
        <v>44</v>
      </c>
      <c r="C17" s="20"/>
      <c r="D17" s="26">
        <v>5</v>
      </c>
      <c r="E17" s="24">
        <v>2.5</v>
      </c>
      <c r="F17" s="28">
        <v>4.5</v>
      </c>
      <c r="G17" s="29">
        <v>5</v>
      </c>
      <c r="H17" s="28">
        <v>4.5</v>
      </c>
      <c r="I17" s="24"/>
      <c r="J17" s="26"/>
      <c r="K17" s="24">
        <v>9</v>
      </c>
      <c r="L17" s="26">
        <v>4.5</v>
      </c>
      <c r="M17" s="24">
        <v>7.5</v>
      </c>
      <c r="N17" s="26">
        <v>5</v>
      </c>
      <c r="O17" s="24"/>
      <c r="P17" s="1">
        <f t="shared" si="0"/>
        <v>47.5</v>
      </c>
      <c r="Q17" s="1">
        <f t="shared" si="1"/>
        <v>3</v>
      </c>
      <c r="R17" s="32" t="str">
        <f t="shared" si="2"/>
        <v>dost+</v>
      </c>
      <c r="S17" s="1">
        <v>5</v>
      </c>
      <c r="T17" s="16" t="s">
        <v>31</v>
      </c>
    </row>
    <row r="18" spans="1:20" ht="24" customHeight="1" thickBot="1" x14ac:dyDescent="0.5">
      <c r="A18" s="14">
        <v>15</v>
      </c>
      <c r="B18" s="27" t="s">
        <v>45</v>
      </c>
      <c r="C18" s="20">
        <v>10</v>
      </c>
      <c r="D18" s="26">
        <v>5</v>
      </c>
      <c r="E18" s="24">
        <v>10</v>
      </c>
      <c r="F18" s="26">
        <v>5</v>
      </c>
      <c r="G18" s="24">
        <v>1.5</v>
      </c>
      <c r="H18" s="26">
        <v>5</v>
      </c>
      <c r="I18" s="24">
        <v>4.5</v>
      </c>
      <c r="J18" s="26">
        <v>5</v>
      </c>
      <c r="K18" s="24"/>
      <c r="L18" s="26">
        <v>4.5</v>
      </c>
      <c r="M18" s="24"/>
      <c r="N18" s="26">
        <v>4.5</v>
      </c>
      <c r="O18" s="24"/>
      <c r="P18" s="1">
        <f t="shared" si="0"/>
        <v>55</v>
      </c>
      <c r="Q18" s="1">
        <f t="shared" si="1"/>
        <v>3.5</v>
      </c>
      <c r="R18" s="32" t="str">
        <f t="shared" si="2"/>
        <v>db</v>
      </c>
      <c r="S18" s="1">
        <v>5</v>
      </c>
      <c r="T18" s="1"/>
    </row>
    <row r="19" spans="1:20" ht="24" customHeight="1" thickBot="1" x14ac:dyDescent="0.5">
      <c r="A19" s="14">
        <v>16</v>
      </c>
      <c r="B19" s="17" t="s">
        <v>46</v>
      </c>
      <c r="C19" s="20">
        <v>10</v>
      </c>
      <c r="D19" s="26">
        <v>5</v>
      </c>
      <c r="E19" s="24">
        <v>8</v>
      </c>
      <c r="F19" s="26">
        <v>5</v>
      </c>
      <c r="G19" s="30">
        <v>10</v>
      </c>
      <c r="H19" s="26">
        <v>5</v>
      </c>
      <c r="I19" s="24">
        <v>6</v>
      </c>
      <c r="J19" s="26">
        <v>5</v>
      </c>
      <c r="K19" s="30">
        <v>9</v>
      </c>
      <c r="L19" s="26">
        <v>5</v>
      </c>
      <c r="M19" s="24">
        <v>8.5</v>
      </c>
      <c r="N19" s="26">
        <v>4.5</v>
      </c>
      <c r="O19" s="24">
        <v>10</v>
      </c>
      <c r="P19" s="1">
        <f t="shared" si="0"/>
        <v>91</v>
      </c>
      <c r="Q19" s="1">
        <f t="shared" si="1"/>
        <v>5</v>
      </c>
      <c r="R19" s="32" t="str">
        <f t="shared" si="2"/>
        <v>bdb</v>
      </c>
      <c r="S19" s="1">
        <v>5</v>
      </c>
      <c r="T19" s="1"/>
    </row>
    <row r="20" spans="1:20" ht="24" customHeight="1" thickBot="1" x14ac:dyDescent="0.5">
      <c r="A20" s="14">
        <v>17</v>
      </c>
      <c r="B20" s="17" t="s">
        <v>47</v>
      </c>
      <c r="C20" s="20">
        <v>1</v>
      </c>
      <c r="D20" s="26">
        <v>5</v>
      </c>
      <c r="E20" s="24">
        <v>9.5</v>
      </c>
      <c r="F20" s="28">
        <v>4.5</v>
      </c>
      <c r="G20" s="24"/>
      <c r="H20" s="26">
        <v>4.5</v>
      </c>
      <c r="I20" s="24">
        <v>6.5</v>
      </c>
      <c r="J20" s="26">
        <v>4.5</v>
      </c>
      <c r="K20" s="24"/>
      <c r="L20" s="26">
        <v>5</v>
      </c>
      <c r="M20" s="24">
        <v>5</v>
      </c>
      <c r="N20" s="26">
        <v>4.5</v>
      </c>
      <c r="O20" s="24"/>
      <c r="P20" s="1">
        <f t="shared" si="0"/>
        <v>50</v>
      </c>
      <c r="Q20" s="1">
        <f t="shared" si="1"/>
        <v>3</v>
      </c>
      <c r="R20" s="32" t="str">
        <f t="shared" si="2"/>
        <v>dost+</v>
      </c>
      <c r="S20" s="1">
        <v>4.5</v>
      </c>
      <c r="T20" s="1"/>
    </row>
    <row r="21" spans="1:20" ht="24" customHeight="1" thickBot="1" x14ac:dyDescent="0.5">
      <c r="A21" s="14">
        <v>18</v>
      </c>
      <c r="B21" s="17" t="s">
        <v>48</v>
      </c>
      <c r="C21" s="20"/>
      <c r="D21" s="26">
        <v>5</v>
      </c>
      <c r="E21" s="24">
        <v>6</v>
      </c>
      <c r="F21" s="28">
        <v>4.5</v>
      </c>
      <c r="G21" s="24"/>
      <c r="H21" s="26">
        <v>4.5</v>
      </c>
      <c r="I21" s="24">
        <v>1</v>
      </c>
      <c r="J21" s="26">
        <v>4.5</v>
      </c>
      <c r="K21" s="24">
        <v>1.5</v>
      </c>
      <c r="L21" s="26">
        <v>4.5</v>
      </c>
      <c r="M21" s="24">
        <v>2</v>
      </c>
      <c r="N21" s="26">
        <v>5</v>
      </c>
      <c r="O21" s="24">
        <v>5</v>
      </c>
      <c r="P21" s="1">
        <f t="shared" si="0"/>
        <v>43.5</v>
      </c>
      <c r="Q21" s="1">
        <f t="shared" si="1"/>
        <v>3</v>
      </c>
      <c r="R21" s="32" t="str">
        <f t="shared" si="2"/>
        <v>dost+</v>
      </c>
      <c r="S21" s="1">
        <v>5</v>
      </c>
      <c r="T21" s="9"/>
    </row>
    <row r="22" spans="1:20" ht="24" customHeight="1" thickBot="1" x14ac:dyDescent="0.5">
      <c r="A22" s="14">
        <v>19</v>
      </c>
      <c r="B22" s="17" t="s">
        <v>49</v>
      </c>
      <c r="C22" s="20"/>
      <c r="D22" s="26">
        <v>5</v>
      </c>
      <c r="E22" s="24">
        <v>1</v>
      </c>
      <c r="F22" s="28">
        <v>4.5</v>
      </c>
      <c r="G22" s="24"/>
      <c r="H22" s="26">
        <v>4.5</v>
      </c>
      <c r="I22" s="24"/>
      <c r="J22" s="26">
        <v>5</v>
      </c>
      <c r="K22" s="24">
        <v>9.5</v>
      </c>
      <c r="L22" s="28">
        <v>4.5</v>
      </c>
      <c r="M22" s="24">
        <v>3.5</v>
      </c>
      <c r="N22" s="26">
        <v>4.5</v>
      </c>
      <c r="O22" s="24">
        <v>4.5</v>
      </c>
      <c r="P22" s="1">
        <f t="shared" si="0"/>
        <v>46.5</v>
      </c>
      <c r="Q22" s="1">
        <f t="shared" si="1"/>
        <v>3</v>
      </c>
      <c r="R22" s="32" t="str">
        <f t="shared" si="2"/>
        <v>dost+</v>
      </c>
      <c r="S22" s="1">
        <v>4</v>
      </c>
      <c r="T22" s="1"/>
    </row>
    <row r="23" spans="1:20" ht="24" customHeight="1" thickBot="1" x14ac:dyDescent="0.5">
      <c r="A23" s="14">
        <v>20</v>
      </c>
      <c r="B23" s="17" t="s">
        <v>50</v>
      </c>
      <c r="C23" s="20"/>
      <c r="D23" s="26">
        <v>5</v>
      </c>
      <c r="E23" s="24">
        <v>4.5</v>
      </c>
      <c r="F23" s="28">
        <v>4.5</v>
      </c>
      <c r="G23" s="29">
        <v>1</v>
      </c>
      <c r="H23" s="26">
        <v>4.5</v>
      </c>
      <c r="I23" s="24"/>
      <c r="J23" s="26">
        <v>4.5</v>
      </c>
      <c r="K23" s="24"/>
      <c r="L23" s="26">
        <v>5</v>
      </c>
      <c r="M23" s="24">
        <v>4.5</v>
      </c>
      <c r="N23" s="26">
        <v>4.5</v>
      </c>
      <c r="O23" s="24">
        <v>5</v>
      </c>
      <c r="P23" s="1">
        <f t="shared" si="0"/>
        <v>43</v>
      </c>
      <c r="Q23" s="1">
        <f t="shared" si="1"/>
        <v>3</v>
      </c>
      <c r="R23" s="32" t="str">
        <f t="shared" si="2"/>
        <v>dost+</v>
      </c>
      <c r="S23" s="1">
        <v>5</v>
      </c>
      <c r="T23" s="9"/>
    </row>
    <row r="24" spans="1:20" ht="24" customHeight="1" thickBot="1" x14ac:dyDescent="0.5">
      <c r="A24" s="14">
        <v>21</v>
      </c>
      <c r="B24" s="27" t="s">
        <v>51</v>
      </c>
      <c r="C24" s="20"/>
      <c r="D24" s="26">
        <v>5</v>
      </c>
      <c r="E24" s="24">
        <v>10</v>
      </c>
      <c r="F24" s="26">
        <v>5</v>
      </c>
      <c r="G24" s="24">
        <v>1.5</v>
      </c>
      <c r="H24" s="26">
        <v>5</v>
      </c>
      <c r="I24" s="29">
        <v>1.5</v>
      </c>
      <c r="J24" s="26">
        <v>5</v>
      </c>
      <c r="K24" s="24">
        <v>5</v>
      </c>
      <c r="L24" s="26">
        <v>5</v>
      </c>
      <c r="M24" s="24">
        <v>5</v>
      </c>
      <c r="N24" s="26">
        <v>4.5</v>
      </c>
      <c r="O24" s="24"/>
      <c r="P24" s="1">
        <f t="shared" si="0"/>
        <v>52.5</v>
      </c>
      <c r="Q24" s="1">
        <f t="shared" si="1"/>
        <v>3.5</v>
      </c>
      <c r="R24" s="32" t="str">
        <f t="shared" si="2"/>
        <v>db</v>
      </c>
      <c r="S24" s="1">
        <v>4.5</v>
      </c>
      <c r="T24" s="1"/>
    </row>
    <row r="25" spans="1:20" ht="24" customHeight="1" thickBot="1" x14ac:dyDescent="0.5">
      <c r="A25" s="14">
        <v>22</v>
      </c>
      <c r="B25" s="17" t="s">
        <v>52</v>
      </c>
      <c r="C25" s="20"/>
      <c r="D25" s="26"/>
      <c r="E25" s="24"/>
      <c r="F25" s="26"/>
      <c r="G25" s="24"/>
      <c r="H25" s="26"/>
      <c r="I25" s="24"/>
      <c r="J25" s="26"/>
      <c r="K25" s="24"/>
      <c r="L25" s="26"/>
      <c r="M25" s="24"/>
      <c r="N25" s="26"/>
      <c r="O25" s="24"/>
      <c r="P25" s="1">
        <f t="shared" si="0"/>
        <v>0</v>
      </c>
      <c r="Q25" s="1" t="str">
        <f t="shared" si="1"/>
        <v xml:space="preserve"> </v>
      </c>
      <c r="R25" s="15" t="str">
        <f t="shared" si="2"/>
        <v xml:space="preserve"> </v>
      </c>
      <c r="S25" s="1"/>
      <c r="T25" s="9"/>
    </row>
    <row r="26" spans="1:20" ht="24" customHeight="1" thickBot="1" x14ac:dyDescent="0.5">
      <c r="A26" s="14">
        <v>23</v>
      </c>
      <c r="B26" s="17" t="s">
        <v>53</v>
      </c>
      <c r="C26" s="20"/>
      <c r="D26" s="26">
        <v>4.5</v>
      </c>
      <c r="E26" s="24">
        <v>2</v>
      </c>
      <c r="F26" s="28">
        <v>5</v>
      </c>
      <c r="G26" s="24"/>
      <c r="H26" s="26">
        <v>4.5</v>
      </c>
      <c r="I26" s="24"/>
      <c r="J26" s="26">
        <v>5</v>
      </c>
      <c r="K26" s="24"/>
      <c r="L26" s="26">
        <v>4.5</v>
      </c>
      <c r="M26" s="24">
        <v>10</v>
      </c>
      <c r="N26" s="26">
        <v>5</v>
      </c>
      <c r="O26" s="24">
        <v>9</v>
      </c>
      <c r="P26" s="1">
        <f t="shared" si="0"/>
        <v>49.5</v>
      </c>
      <c r="Q26" s="1">
        <f t="shared" si="1"/>
        <v>3</v>
      </c>
      <c r="R26" s="32" t="str">
        <f t="shared" si="2"/>
        <v>dost+</v>
      </c>
      <c r="S26" s="1">
        <v>5</v>
      </c>
      <c r="T26" s="1"/>
    </row>
    <row r="27" spans="1:20" ht="24" customHeight="1" thickBot="1" x14ac:dyDescent="0.5">
      <c r="A27" s="14">
        <v>24</v>
      </c>
      <c r="B27" s="17" t="s">
        <v>54</v>
      </c>
      <c r="C27" s="20"/>
      <c r="D27" s="26">
        <v>5</v>
      </c>
      <c r="E27" s="24">
        <v>8.5</v>
      </c>
      <c r="F27" s="28">
        <v>4.5</v>
      </c>
      <c r="G27" s="24"/>
      <c r="H27" s="26">
        <v>4.5</v>
      </c>
      <c r="I27" s="24"/>
      <c r="J27" s="26">
        <v>4.5</v>
      </c>
      <c r="K27" s="24">
        <v>5</v>
      </c>
      <c r="L27" s="26">
        <v>4.5</v>
      </c>
      <c r="M27" s="24">
        <v>9</v>
      </c>
      <c r="N27" s="26">
        <v>5</v>
      </c>
      <c r="O27" s="24">
        <v>9</v>
      </c>
      <c r="P27" s="1">
        <f t="shared" si="0"/>
        <v>59.5</v>
      </c>
      <c r="Q27" s="1">
        <f t="shared" si="1"/>
        <v>3.5</v>
      </c>
      <c r="R27" s="32" t="str">
        <f t="shared" si="2"/>
        <v>dost+</v>
      </c>
      <c r="S27" s="1">
        <v>4</v>
      </c>
      <c r="T27" s="1"/>
    </row>
    <row r="28" spans="1:20" ht="24" customHeight="1" thickBot="1" x14ac:dyDescent="0.5">
      <c r="A28" s="14">
        <v>25</v>
      </c>
      <c r="B28" s="17" t="s">
        <v>55</v>
      </c>
      <c r="C28" s="20">
        <v>10</v>
      </c>
      <c r="D28" s="26">
        <v>5</v>
      </c>
      <c r="E28" s="24">
        <v>8</v>
      </c>
      <c r="F28" s="26">
        <v>5</v>
      </c>
      <c r="G28" s="24"/>
      <c r="H28" s="26">
        <v>4.5</v>
      </c>
      <c r="I28" s="24">
        <v>1</v>
      </c>
      <c r="J28" s="26">
        <v>4.5</v>
      </c>
      <c r="K28" s="24"/>
      <c r="L28" s="26">
        <v>4.5</v>
      </c>
      <c r="M28" s="24"/>
      <c r="N28" s="26">
        <v>4.5</v>
      </c>
      <c r="O28" s="24"/>
      <c r="P28" s="1">
        <f t="shared" si="0"/>
        <v>47</v>
      </c>
      <c r="Q28" s="1">
        <f t="shared" si="1"/>
        <v>3</v>
      </c>
      <c r="R28" s="32" t="str">
        <f t="shared" si="2"/>
        <v>dost+</v>
      </c>
      <c r="S28" s="1">
        <v>4</v>
      </c>
      <c r="T28" s="1"/>
    </row>
    <row r="29" spans="1:20" ht="24" customHeight="1" thickBot="1" x14ac:dyDescent="0.5">
      <c r="A29" s="14">
        <v>26</v>
      </c>
      <c r="B29" s="17" t="s">
        <v>56</v>
      </c>
      <c r="C29" s="20"/>
      <c r="D29" s="26">
        <v>4.5</v>
      </c>
      <c r="E29" s="24">
        <v>6.5</v>
      </c>
      <c r="F29" s="28">
        <v>5</v>
      </c>
      <c r="G29" s="24"/>
      <c r="H29" s="26"/>
      <c r="I29" s="24">
        <v>4.5</v>
      </c>
      <c r="J29" s="26">
        <v>4.5</v>
      </c>
      <c r="K29" s="24">
        <v>5</v>
      </c>
      <c r="L29" s="26">
        <v>4.5</v>
      </c>
      <c r="M29" s="24">
        <v>8.5</v>
      </c>
      <c r="N29" s="26">
        <v>5</v>
      </c>
      <c r="O29" s="24">
        <v>4.5</v>
      </c>
      <c r="P29" s="1">
        <f t="shared" si="0"/>
        <v>52.5</v>
      </c>
      <c r="Q29" s="1">
        <f t="shared" si="1"/>
        <v>3.5</v>
      </c>
      <c r="R29" s="32" t="str">
        <f t="shared" si="2"/>
        <v>db</v>
      </c>
      <c r="S29" s="1">
        <v>5</v>
      </c>
      <c r="T29" s="1"/>
    </row>
    <row r="30" spans="1:20" ht="24" customHeight="1" thickBot="1" x14ac:dyDescent="0.5">
      <c r="A30" s="14">
        <v>27</v>
      </c>
      <c r="B30" s="17" t="s">
        <v>57</v>
      </c>
      <c r="C30" s="20"/>
      <c r="D30" s="22">
        <v>5</v>
      </c>
      <c r="E30" s="21">
        <v>3.5</v>
      </c>
      <c r="F30" s="28">
        <v>4.5</v>
      </c>
      <c r="G30" s="29">
        <v>2</v>
      </c>
      <c r="H30" s="28">
        <v>4.5</v>
      </c>
      <c r="I30" s="29">
        <v>2.5</v>
      </c>
      <c r="J30" s="22">
        <v>4.5</v>
      </c>
      <c r="K30" s="21">
        <v>3</v>
      </c>
      <c r="L30" s="22"/>
      <c r="M30" s="21">
        <v>7.5</v>
      </c>
      <c r="N30" s="22">
        <v>5</v>
      </c>
      <c r="O30" s="21">
        <v>5</v>
      </c>
      <c r="P30" s="1">
        <f t="shared" si="0"/>
        <v>47</v>
      </c>
      <c r="Q30" s="1">
        <f t="shared" si="1"/>
        <v>3</v>
      </c>
      <c r="R30" s="32" t="str">
        <f t="shared" si="2"/>
        <v>dost+</v>
      </c>
      <c r="S30" s="1">
        <v>5</v>
      </c>
      <c r="T30" s="1"/>
    </row>
    <row r="31" spans="1:20" ht="24" customHeight="1" thickBot="1" x14ac:dyDescent="0.5">
      <c r="A31" s="14">
        <v>28</v>
      </c>
      <c r="B31" s="17" t="s">
        <v>58</v>
      </c>
      <c r="C31" s="20"/>
      <c r="D31" s="22">
        <v>5</v>
      </c>
      <c r="E31" s="30">
        <v>5</v>
      </c>
      <c r="F31" s="31">
        <v>4.5</v>
      </c>
      <c r="G31" s="29">
        <v>5</v>
      </c>
      <c r="H31" s="22">
        <v>4.5</v>
      </c>
      <c r="I31" s="21"/>
      <c r="J31" s="22">
        <v>4.5</v>
      </c>
      <c r="K31" s="21"/>
      <c r="L31" s="22"/>
      <c r="M31" s="21">
        <v>4.5</v>
      </c>
      <c r="N31" s="22">
        <v>5</v>
      </c>
      <c r="O31" s="21">
        <v>5</v>
      </c>
      <c r="P31" s="1">
        <f t="shared" si="0"/>
        <v>43</v>
      </c>
      <c r="Q31" s="1">
        <f t="shared" si="1"/>
        <v>3</v>
      </c>
      <c r="R31" s="32" t="str">
        <f t="shared" si="2"/>
        <v>dost+</v>
      </c>
      <c r="S31" s="1">
        <v>5</v>
      </c>
      <c r="T31" s="1"/>
    </row>
    <row r="32" spans="1:20" ht="18" customHeight="1" x14ac:dyDescent="0.4"/>
    <row r="33" ht="18" customHeight="1" x14ac:dyDescent="0.4"/>
    <row r="34" ht="18" customHeight="1" x14ac:dyDescent="0.4"/>
  </sheetData>
  <sortState xmlns:xlrd2="http://schemas.microsoft.com/office/spreadsheetml/2017/richdata2" ref="B4:S31">
    <sortCondition ref="B4:B31"/>
  </sortState>
  <mergeCells count="15">
    <mergeCell ref="P1:P3"/>
    <mergeCell ref="Q1:Q3"/>
    <mergeCell ref="T1:T3"/>
    <mergeCell ref="B1:B3"/>
    <mergeCell ref="A1:A3"/>
    <mergeCell ref="C1:C3"/>
    <mergeCell ref="D2:E2"/>
    <mergeCell ref="D1:O1"/>
    <mergeCell ref="F2:G2"/>
    <mergeCell ref="H2:I2"/>
    <mergeCell ref="J2:K2"/>
    <mergeCell ref="L2:M2"/>
    <mergeCell ref="N2:O2"/>
    <mergeCell ref="S1:S3"/>
    <mergeCell ref="R1:R3"/>
  </mergeCells>
  <conditionalFormatting sqref="B5:B9 B11:B17 B19:B23 B25:B31">
    <cfRule type="containsText" dxfId="3" priority="7" operator="containsText" text="Anielska Martyna">
      <formula>NOT(ISERROR(SEARCH("Anielska Martyna",B5)))</formula>
    </cfRule>
  </conditionalFormatting>
  <conditionalFormatting sqref="Q4:R31">
    <cfRule type="colorScale" priority="5">
      <colorScale>
        <cfvo type="num" val="2"/>
        <cfvo type="percentile" val="50"/>
        <cfvo type="num" val="5"/>
        <color theme="0"/>
        <color rgb="FFFFEB84"/>
        <color rgb="FF00B050"/>
      </colorScale>
    </cfRule>
    <cfRule type="cellIs" dxfId="2" priority="6" operator="equal">
      <formula>2</formula>
    </cfRule>
  </conditionalFormatting>
  <conditionalFormatting sqref="S4:S31">
    <cfRule type="colorScale" priority="1">
      <colorScale>
        <cfvo type="num" val="2"/>
        <cfvo type="percentile" val="50"/>
        <cfvo type="num" val="5"/>
        <color theme="0"/>
        <color rgb="FFFFEB84"/>
        <color rgb="FF00B050"/>
      </colorScale>
    </cfRule>
    <cfRule type="cellIs" dxfId="1" priority="2" operator="equal">
      <formula>2</formula>
    </cfRule>
  </conditionalFormatting>
  <dataValidations count="2">
    <dataValidation type="list" allowBlank="1" showInputMessage="1" showErrorMessage="1" error="Jedna z wartości: 4,5 lub 5" sqref="D4:D31 F4:F31 H4:H31 J4:J31 L4:L31 N4:N31" xr:uid="{00000000-0002-0000-0000-000000000000}">
      <mc:AlternateContent xmlns:x12ac="http://schemas.microsoft.com/office/spreadsheetml/2011/1/ac" xmlns:mc="http://schemas.openxmlformats.org/markup-compatibility/2006">
        <mc:Choice Requires="x12ac">
          <x12ac:list>"4,5",5</x12ac:list>
        </mc:Choice>
        <mc:Fallback>
          <formula1>"4,5,5"</formula1>
        </mc:Fallback>
      </mc:AlternateContent>
    </dataValidation>
    <dataValidation type="list" allowBlank="1" showInputMessage="1" showErrorMessage="1" error="Liczba z przedziału od 0 do 10 z krokiem 0,5" sqref="E4:E31 G4:G31 I4:I31 K4:K31 M4:M31 O4:O31" xr:uid="{00000000-0002-0000-0000-000001000000}">
      <mc:AlternateContent xmlns:x12ac="http://schemas.microsoft.com/office/spreadsheetml/2011/1/ac" xmlns:mc="http://schemas.openxmlformats.org/markup-compatibility/2006">
        <mc:Choice Requires="x12ac">
          <x12ac:list>"0,5",1,"1,5",2,"2,5",3,"3,5",4,"4,5",5,"5,5",6,"6,5",7,"7,5",8,"8,5",9,"9,5",10</x12ac:list>
        </mc:Choice>
        <mc:Fallback>
          <formula1>"0,5,1,1,5,2,2,5,3,3,5,4,4,5,5,5,5,6,6,5,7,7,5,8,8,5,9,9,5,10"</formula1>
        </mc:Fallback>
      </mc:AlternateContent>
    </dataValidation>
  </dataValidations>
  <pageMargins left="0.25" right="0.25" top="0.75" bottom="0.75" header="0.3" footer="0.3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BEE0-19B5-4FD5-AEFF-007068BD0782}">
  <dimension ref="A1:B28"/>
  <sheetViews>
    <sheetView tabSelected="1" workbookViewId="0">
      <selection activeCell="B1" sqref="B1:B28"/>
    </sheetView>
  </sheetViews>
  <sheetFormatPr defaultRowHeight="14.6" x14ac:dyDescent="0.4"/>
  <cols>
    <col min="2" max="2" width="65.69140625" bestFit="1" customWidth="1"/>
  </cols>
  <sheetData>
    <row r="1" spans="1:2" ht="15" thickBot="1" x14ac:dyDescent="0.45">
      <c r="A1" s="14">
        <v>1</v>
      </c>
      <c r="B1" t="s">
        <v>60</v>
      </c>
    </row>
    <row r="2" spans="1:2" ht="15" thickBot="1" x14ac:dyDescent="0.45">
      <c r="A2" s="14">
        <v>2</v>
      </c>
      <c r="B2" t="s">
        <v>61</v>
      </c>
    </row>
    <row r="3" spans="1:2" ht="15" thickBot="1" x14ac:dyDescent="0.45">
      <c r="A3" s="14">
        <v>3</v>
      </c>
      <c r="B3" t="s">
        <v>62</v>
      </c>
    </row>
    <row r="4" spans="1:2" ht="15" thickBot="1" x14ac:dyDescent="0.45">
      <c r="A4" s="14">
        <v>4</v>
      </c>
      <c r="B4" t="s">
        <v>63</v>
      </c>
    </row>
    <row r="5" spans="1:2" ht="15" thickBot="1" x14ac:dyDescent="0.45">
      <c r="A5" s="14">
        <v>5</v>
      </c>
      <c r="B5" t="s">
        <v>64</v>
      </c>
    </row>
    <row r="6" spans="1:2" ht="15" thickBot="1" x14ac:dyDescent="0.45">
      <c r="A6" s="14">
        <v>6</v>
      </c>
      <c r="B6" t="s">
        <v>65</v>
      </c>
    </row>
    <row r="7" spans="1:2" ht="15" thickBot="1" x14ac:dyDescent="0.45">
      <c r="A7" s="14">
        <v>7</v>
      </c>
      <c r="B7" t="s">
        <v>66</v>
      </c>
    </row>
    <row r="8" spans="1:2" ht="15" thickBot="1" x14ac:dyDescent="0.45">
      <c r="A8" s="14">
        <v>8</v>
      </c>
      <c r="B8" t="s">
        <v>67</v>
      </c>
    </row>
    <row r="9" spans="1:2" ht="15" thickBot="1" x14ac:dyDescent="0.45">
      <c r="A9" s="14">
        <v>9</v>
      </c>
      <c r="B9" t="s">
        <v>68</v>
      </c>
    </row>
    <row r="10" spans="1:2" ht="15" thickBot="1" x14ac:dyDescent="0.45">
      <c r="A10" s="14">
        <v>10</v>
      </c>
      <c r="B10" t="s">
        <v>69</v>
      </c>
    </row>
    <row r="11" spans="1:2" ht="15" thickBot="1" x14ac:dyDescent="0.45">
      <c r="A11" s="14">
        <v>11</v>
      </c>
      <c r="B11" t="s">
        <v>70</v>
      </c>
    </row>
    <row r="12" spans="1:2" ht="15" thickBot="1" x14ac:dyDescent="0.45">
      <c r="A12" s="14">
        <v>12</v>
      </c>
      <c r="B12" t="s">
        <v>71</v>
      </c>
    </row>
    <row r="13" spans="1:2" ht="15" thickBot="1" x14ac:dyDescent="0.45">
      <c r="A13" s="14">
        <v>13</v>
      </c>
      <c r="B13" t="s">
        <v>72</v>
      </c>
    </row>
    <row r="14" spans="1:2" ht="15" thickBot="1" x14ac:dyDescent="0.45">
      <c r="A14" s="14">
        <v>14</v>
      </c>
      <c r="B14" t="s">
        <v>73</v>
      </c>
    </row>
    <row r="15" spans="1:2" ht="15" thickBot="1" x14ac:dyDescent="0.45">
      <c r="A15" s="14">
        <v>15</v>
      </c>
      <c r="B15" t="s">
        <v>74</v>
      </c>
    </row>
    <row r="16" spans="1:2" ht="15" thickBot="1" x14ac:dyDescent="0.45">
      <c r="A16" s="14">
        <v>16</v>
      </c>
      <c r="B16" t="s">
        <v>75</v>
      </c>
    </row>
    <row r="17" spans="1:2" ht="15" thickBot="1" x14ac:dyDescent="0.45">
      <c r="A17" s="14">
        <v>17</v>
      </c>
      <c r="B17" t="s">
        <v>76</v>
      </c>
    </row>
    <row r="18" spans="1:2" ht="15" thickBot="1" x14ac:dyDescent="0.45">
      <c r="A18" s="14">
        <v>18</v>
      </c>
      <c r="B18" t="s">
        <v>77</v>
      </c>
    </row>
    <row r="19" spans="1:2" ht="15" thickBot="1" x14ac:dyDescent="0.45">
      <c r="A19" s="14">
        <v>19</v>
      </c>
      <c r="B19" t="s">
        <v>78</v>
      </c>
    </row>
    <row r="20" spans="1:2" ht="15" thickBot="1" x14ac:dyDescent="0.45">
      <c r="A20" s="14">
        <v>20</v>
      </c>
      <c r="B20" t="s">
        <v>79</v>
      </c>
    </row>
    <row r="21" spans="1:2" ht="15" thickBot="1" x14ac:dyDescent="0.45">
      <c r="A21" s="14">
        <v>21</v>
      </c>
      <c r="B21" t="s">
        <v>80</v>
      </c>
    </row>
    <row r="22" spans="1:2" ht="15" thickBot="1" x14ac:dyDescent="0.45">
      <c r="A22" s="14">
        <v>22</v>
      </c>
      <c r="B22" t="s">
        <v>81</v>
      </c>
    </row>
    <row r="23" spans="1:2" ht="15" thickBot="1" x14ac:dyDescent="0.45">
      <c r="A23" s="14">
        <v>23</v>
      </c>
      <c r="B23" t="s">
        <v>82</v>
      </c>
    </row>
    <row r="24" spans="1:2" ht="15" thickBot="1" x14ac:dyDescent="0.45">
      <c r="A24" s="14">
        <v>24</v>
      </c>
      <c r="B24" t="s">
        <v>83</v>
      </c>
    </row>
    <row r="25" spans="1:2" ht="15" thickBot="1" x14ac:dyDescent="0.45">
      <c r="A25" s="14">
        <v>25</v>
      </c>
      <c r="B25" t="s">
        <v>84</v>
      </c>
    </row>
    <row r="26" spans="1:2" ht="15" thickBot="1" x14ac:dyDescent="0.45">
      <c r="A26" s="14">
        <v>26</v>
      </c>
      <c r="B26" t="s">
        <v>85</v>
      </c>
    </row>
    <row r="27" spans="1:2" ht="15" thickBot="1" x14ac:dyDescent="0.45">
      <c r="A27" s="14">
        <v>27</v>
      </c>
      <c r="B27" t="s">
        <v>86</v>
      </c>
    </row>
    <row r="28" spans="1:2" ht="15" thickBot="1" x14ac:dyDescent="0.45">
      <c r="A28" s="14">
        <v>28</v>
      </c>
      <c r="B28" t="s">
        <v>87</v>
      </c>
    </row>
  </sheetData>
  <conditionalFormatting sqref="B2:B6 B8:B14 B16:B20 B22:B28">
    <cfRule type="containsText" dxfId="0" priority="1" operator="containsText" text="Anielska Martyna">
      <formula>NOT(ISERROR(SEARCH("Anielska Martyna",B2)))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Mariusz Pleszczyński</cp:lastModifiedBy>
  <cp:revision/>
  <dcterms:created xsi:type="dcterms:W3CDTF">2016-10-17T07:57:10Z</dcterms:created>
  <dcterms:modified xsi:type="dcterms:W3CDTF">2026-02-21T11:54:07Z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7ed1fa7c-3e9e-4bef-9994-a8faab30d158</vt:lpwstr>
  </property>
</Properties>
</file>