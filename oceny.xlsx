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riusz\Downloads\"/>
    </mc:Choice>
  </mc:AlternateContent>
  <xr:revisionPtr revIDLastSave="0" documentId="13_ncr:1_{77EBF13C-5DDA-4DEC-A0E5-C85E3EA66D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Q5" i="1" s="1"/>
  <c r="Q7" i="1"/>
  <c r="Q8" i="1"/>
  <c r="Q9" i="1"/>
  <c r="Q10" i="1"/>
  <c r="Q11" i="1"/>
  <c r="Q12" i="1"/>
  <c r="Q13" i="1"/>
  <c r="Q14" i="1"/>
  <c r="Q16" i="1"/>
  <c r="Q17" i="1"/>
  <c r="Q18" i="1"/>
  <c r="P6" i="1"/>
  <c r="Q6" i="1" s="1"/>
  <c r="P7" i="1"/>
  <c r="P8" i="1"/>
  <c r="P9" i="1"/>
  <c r="P10" i="1"/>
  <c r="P11" i="1"/>
  <c r="P12" i="1"/>
  <c r="P13" i="1"/>
  <c r="P14" i="1"/>
  <c r="P15" i="1"/>
  <c r="Q15" i="1" s="1"/>
  <c r="P16" i="1"/>
  <c r="P17" i="1"/>
  <c r="P18" i="1"/>
  <c r="P19" i="1"/>
  <c r="Q19" i="1" s="1"/>
  <c r="P20" i="1"/>
  <c r="Q20" i="1" s="1"/>
  <c r="P4" i="1" l="1"/>
  <c r="Q4" i="1" s="1"/>
</calcChain>
</file>

<file path=xl/sharedStrings.xml><?xml version="1.0" encoding="utf-8"?>
<sst xmlns="http://schemas.openxmlformats.org/spreadsheetml/2006/main" count="58" uniqueCount="47">
  <si>
    <t>Lp.</t>
  </si>
  <si>
    <t>NAZWISKO I IMIĘ</t>
  </si>
  <si>
    <t>Pkt</t>
  </si>
  <si>
    <t>Ocena</t>
  </si>
  <si>
    <t>Uwagi</t>
  </si>
  <si>
    <t>Punkty</t>
  </si>
  <si>
    <t>poch. 15(5)</t>
  </si>
  <si>
    <t>poprawa 2</t>
  </si>
  <si>
    <t>poprawa 3</t>
  </si>
  <si>
    <t>Log+zb 15(5)</t>
  </si>
  <si>
    <t xml:space="preserve">uk_r_l 15(5) </t>
  </si>
  <si>
    <t>ciągi 15(5)</t>
  </si>
  <si>
    <t>3.5</t>
  </si>
  <si>
    <t>4.5</t>
  </si>
  <si>
    <t>poprawa 1</t>
  </si>
  <si>
    <t>a</t>
  </si>
  <si>
    <t>b, c</t>
  </si>
  <si>
    <t>Akt. (10)</t>
  </si>
  <si>
    <t>poprawa 4</t>
  </si>
  <si>
    <t>mac+wyz 15(5)</t>
  </si>
  <si>
    <t xml:space="preserve">funkcje 15(5) </t>
  </si>
  <si>
    <t>Działy</t>
  </si>
  <si>
    <t xml:space="preserve">przepisana </t>
  </si>
  <si>
    <t>ocena w USOS</t>
  </si>
  <si>
    <t>[0-40]</t>
  </si>
  <si>
    <t>(40-52]</t>
  </si>
  <si>
    <t>(52-64]</t>
  </si>
  <si>
    <t>(64-76]</t>
  </si>
  <si>
    <t>(76-88]</t>
  </si>
  <si>
    <t>(88-100]</t>
  </si>
  <si>
    <t>Aaaaa Tomasz</t>
  </si>
  <si>
    <t>Bbbbbb Maksymilian</t>
  </si>
  <si>
    <t>Basasas Karol Jakub</t>
  </si>
  <si>
    <t>Cccccc Jan Paweł</t>
  </si>
  <si>
    <t>Dddddd Piotr Tomasz</t>
  </si>
  <si>
    <t>Eeeeee Anna Marta</t>
  </si>
  <si>
    <t>Fffffff Paweł</t>
  </si>
  <si>
    <t>Ggggggg Dawid Dariusz</t>
  </si>
  <si>
    <t>Hhhhhhh Stanisław</t>
  </si>
  <si>
    <t>Iiiiiiii Tomasz</t>
  </si>
  <si>
    <t>Jjjjjjjjj Kacper Jakub</t>
  </si>
  <si>
    <t>Kkkkkkk Zuzanna Martyna</t>
  </si>
  <si>
    <t>Lllllllll Magdalena Zofia</t>
  </si>
  <si>
    <t>MmmmmmLICH Szymon Piotr</t>
  </si>
  <si>
    <t>Szszszszsz Artur Mateusz</t>
  </si>
  <si>
    <t>Tttttttt Wiktor Mirosław</t>
  </si>
  <si>
    <t>Zzzzzzzz Jan Wojciech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</si>
</sst>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5BE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0" borderId="6" xfId="0" applyFill="1" applyBorder="1" applyAlignment="1">
      <alignment horizontal="center"/>
    </xf>
    <xf numFmtId="0" fontId="0" fillId="11" borderId="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1" fillId="0" borderId="7" xfId="0" applyFont="1" applyBorder="1"/>
    <xf numFmtId="0" fontId="1" fillId="0" borderId="18" xfId="0" applyFont="1" applyBorder="1"/>
    <xf numFmtId="0" fontId="2" fillId="13" borderId="6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  <color rgb="FF05B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3"/>
  <sheetViews>
    <sheetView tabSelected="1" workbookViewId="0">
      <pane ySplit="3" topLeftCell="A4" activePane="bottomLeft" state="frozen"/>
      <selection pane="bottomLeft" activeCell="B15" sqref="B15"/>
    </sheetView>
  </sheetViews>
  <sheetFormatPr defaultRowHeight="14.4" x14ac:dyDescent="0.3"/>
  <cols>
    <col min="1" max="1" width="3.5546875" bestFit="1" customWidth="1"/>
    <col min="2" max="2" width="40" bestFit="1" customWidth="1"/>
    <col min="3" max="3" width="14.88671875" customWidth="1"/>
    <col min="4" max="15" width="6.6640625" customWidth="1"/>
    <col min="18" max="18" width="13.33203125" customWidth="1"/>
    <col min="22" max="22" width="9.88671875" bestFit="1" customWidth="1"/>
    <col min="24" max="24" width="9.88671875" bestFit="1" customWidth="1"/>
  </cols>
  <sheetData>
    <row r="1" spans="1:21" x14ac:dyDescent="0.3">
      <c r="A1" s="24" t="s">
        <v>0</v>
      </c>
      <c r="B1" s="24" t="s">
        <v>1</v>
      </c>
      <c r="C1" s="24" t="s">
        <v>17</v>
      </c>
      <c r="D1" s="31" t="s">
        <v>21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3"/>
      <c r="P1" s="24" t="s">
        <v>2</v>
      </c>
      <c r="Q1" s="24" t="s">
        <v>3</v>
      </c>
      <c r="R1" s="24" t="s">
        <v>4</v>
      </c>
    </row>
    <row r="2" spans="1:21" x14ac:dyDescent="0.3">
      <c r="A2" s="27"/>
      <c r="B2" s="27"/>
      <c r="C2" s="25"/>
      <c r="D2" s="29" t="s">
        <v>9</v>
      </c>
      <c r="E2" s="30"/>
      <c r="F2" s="29" t="s">
        <v>11</v>
      </c>
      <c r="G2" s="30"/>
      <c r="H2" s="29" t="s">
        <v>20</v>
      </c>
      <c r="I2" s="30"/>
      <c r="J2" s="29" t="s">
        <v>6</v>
      </c>
      <c r="K2" s="34"/>
      <c r="L2" s="29" t="s">
        <v>19</v>
      </c>
      <c r="M2" s="30"/>
      <c r="N2" s="29" t="s">
        <v>10</v>
      </c>
      <c r="O2" s="30"/>
      <c r="P2" s="25"/>
      <c r="Q2" s="25"/>
      <c r="R2" s="25"/>
    </row>
    <row r="3" spans="1:21" ht="15" thickBot="1" x14ac:dyDescent="0.35">
      <c r="A3" s="28"/>
      <c r="B3" s="27"/>
      <c r="C3" s="26"/>
      <c r="D3" s="13" t="s">
        <v>15</v>
      </c>
      <c r="E3" s="11" t="s">
        <v>16</v>
      </c>
      <c r="F3" s="12" t="s">
        <v>15</v>
      </c>
      <c r="G3" s="14" t="s">
        <v>16</v>
      </c>
      <c r="H3" s="13" t="s">
        <v>15</v>
      </c>
      <c r="I3" s="14" t="s">
        <v>16</v>
      </c>
      <c r="J3" s="13" t="s">
        <v>15</v>
      </c>
      <c r="K3" s="11" t="s">
        <v>16</v>
      </c>
      <c r="L3" s="13" t="s">
        <v>15</v>
      </c>
      <c r="M3" s="11" t="s">
        <v>16</v>
      </c>
      <c r="N3" s="12" t="s">
        <v>15</v>
      </c>
      <c r="O3" s="14" t="s">
        <v>16</v>
      </c>
      <c r="P3" s="26"/>
      <c r="Q3" s="26"/>
      <c r="R3" s="26"/>
    </row>
    <row r="4" spans="1:21" ht="24" customHeight="1" thickBot="1" x14ac:dyDescent="0.45">
      <c r="A4" s="15">
        <v>1</v>
      </c>
      <c r="B4" s="19" t="s">
        <v>30</v>
      </c>
      <c r="C4" s="21">
        <v>9.5</v>
      </c>
      <c r="D4" s="22">
        <v>5</v>
      </c>
      <c r="E4" s="23">
        <v>2.5</v>
      </c>
      <c r="F4" s="22">
        <v>5</v>
      </c>
      <c r="G4" s="23">
        <v>4.5</v>
      </c>
      <c r="H4" s="22">
        <v>5</v>
      </c>
      <c r="I4" s="23">
        <v>3.5</v>
      </c>
      <c r="J4" s="22">
        <v>5</v>
      </c>
      <c r="K4" s="23">
        <v>8.5</v>
      </c>
      <c r="L4" s="22">
        <v>5</v>
      </c>
      <c r="M4" s="23">
        <v>7</v>
      </c>
      <c r="N4" s="22">
        <v>5</v>
      </c>
      <c r="O4" s="23">
        <v>6</v>
      </c>
      <c r="P4" s="1">
        <f>IF(C4&lt;0,0,C4)+SUM(D4:O4)</f>
        <v>71.5</v>
      </c>
      <c r="Q4" s="18" t="str">
        <f>IF(OR(P4&lt;=40,D4+E4&lt;4.5,F4+G4&lt;4.5,H4+I4&lt;4.5,J4+K4&lt;4.5,L4+M4&lt;4.5,N4+O4&lt;4.5)," ",IF(P4&gt;88,"bdb",IF(P4&gt;76,"db+",IF(P4&gt;64,"db",IF(P4&gt;52,"dost+","dost")))))</f>
        <v>db</v>
      </c>
      <c r="R4" s="1"/>
    </row>
    <row r="5" spans="1:21" ht="24" customHeight="1" thickBot="1" x14ac:dyDescent="0.45">
      <c r="A5" s="15">
        <v>2</v>
      </c>
      <c r="B5" s="19" t="s">
        <v>31</v>
      </c>
      <c r="C5" s="21">
        <v>7</v>
      </c>
      <c r="D5" s="22">
        <v>5</v>
      </c>
      <c r="E5" s="23">
        <v>8</v>
      </c>
      <c r="F5" s="22">
        <v>5</v>
      </c>
      <c r="G5" s="23">
        <v>7</v>
      </c>
      <c r="H5" s="22">
        <v>5</v>
      </c>
      <c r="I5" s="23">
        <v>1</v>
      </c>
      <c r="J5" s="22">
        <v>5</v>
      </c>
      <c r="K5" s="23">
        <v>1</v>
      </c>
      <c r="L5" s="22">
        <v>5</v>
      </c>
      <c r="M5" s="23">
        <v>1</v>
      </c>
      <c r="N5" s="22">
        <v>5</v>
      </c>
      <c r="O5" s="23">
        <v>9</v>
      </c>
      <c r="P5" s="1">
        <f>IF(C5&lt;0,0,C5)+SUM(D5:O5)</f>
        <v>64</v>
      </c>
      <c r="Q5" s="18" t="str">
        <f t="shared" ref="Q5:Q20" si="0">IF(OR(P5&lt;=40,D5+E5&lt;4.5,F5+G5&lt;4.5,H5+I5&lt;4.5,J5+K5&lt;4.5,L5+M5&lt;4.5,N5+O5&lt;4.5)," ",IF(P5&gt;88,"bdb",IF(P5&gt;76,"db+",IF(P5&gt;64,"db",IF(P5&gt;52,"dost+","dost")))))</f>
        <v>dost+</v>
      </c>
      <c r="R5" s="1"/>
    </row>
    <row r="6" spans="1:21" ht="24" customHeight="1" thickBot="1" x14ac:dyDescent="0.45">
      <c r="A6" s="15">
        <v>3</v>
      </c>
      <c r="B6" s="19" t="s">
        <v>32</v>
      </c>
      <c r="C6" s="21">
        <v>10</v>
      </c>
      <c r="D6" s="22">
        <v>5</v>
      </c>
      <c r="E6" s="23">
        <v>9.5</v>
      </c>
      <c r="F6" s="22">
        <v>4.5</v>
      </c>
      <c r="G6" s="23">
        <v>9.5</v>
      </c>
      <c r="H6" s="22">
        <v>5</v>
      </c>
      <c r="I6" s="23">
        <v>8</v>
      </c>
      <c r="J6" s="22">
        <v>4.5</v>
      </c>
      <c r="K6" s="23">
        <v>6.5</v>
      </c>
      <c r="L6" s="22">
        <v>5</v>
      </c>
      <c r="M6" s="23">
        <v>8</v>
      </c>
      <c r="N6" s="22">
        <v>4.5</v>
      </c>
      <c r="O6" s="23">
        <v>8.5</v>
      </c>
      <c r="P6" s="1">
        <f t="shared" ref="P6:P20" si="1">IF(C6&lt;0,0,C6)+SUM(D6:O6)</f>
        <v>88.5</v>
      </c>
      <c r="Q6" s="18" t="str">
        <f t="shared" si="0"/>
        <v>bdb</v>
      </c>
      <c r="R6" s="17" t="s">
        <v>23</v>
      </c>
      <c r="T6" s="2" t="s">
        <v>5</v>
      </c>
      <c r="U6" s="3" t="s">
        <v>3</v>
      </c>
    </row>
    <row r="7" spans="1:21" ht="24" customHeight="1" thickBot="1" x14ac:dyDescent="0.45">
      <c r="A7" s="15">
        <v>4</v>
      </c>
      <c r="B7" s="19" t="s">
        <v>33</v>
      </c>
      <c r="C7" s="21"/>
      <c r="D7" s="22">
        <v>5</v>
      </c>
      <c r="E7" s="23"/>
      <c r="F7" s="22"/>
      <c r="G7" s="23"/>
      <c r="H7" s="22"/>
      <c r="I7" s="23"/>
      <c r="J7" s="22"/>
      <c r="K7" s="23"/>
      <c r="L7" s="22"/>
      <c r="M7" s="23"/>
      <c r="N7" s="22"/>
      <c r="O7" s="23"/>
      <c r="P7" s="1">
        <f t="shared" si="1"/>
        <v>5</v>
      </c>
      <c r="Q7" s="18" t="str">
        <f t="shared" si="0"/>
        <v xml:space="preserve"> </v>
      </c>
      <c r="R7" s="1"/>
      <c r="T7" s="4" t="s">
        <v>24</v>
      </c>
      <c r="U7" s="4">
        <v>2</v>
      </c>
    </row>
    <row r="8" spans="1:21" ht="24" customHeight="1" thickBot="1" x14ac:dyDescent="0.45">
      <c r="A8" s="15">
        <v>5</v>
      </c>
      <c r="B8" s="19" t="s">
        <v>34</v>
      </c>
      <c r="C8" s="21">
        <v>1.5</v>
      </c>
      <c r="D8" s="22">
        <v>5</v>
      </c>
      <c r="E8" s="23"/>
      <c r="F8" s="22">
        <v>4.5</v>
      </c>
      <c r="G8" s="23"/>
      <c r="H8" s="22"/>
      <c r="I8" s="23"/>
      <c r="J8" s="22"/>
      <c r="K8" s="23"/>
      <c r="L8" s="22"/>
      <c r="M8" s="23"/>
      <c r="N8" s="22"/>
      <c r="O8" s="23"/>
      <c r="P8" s="1">
        <f t="shared" si="1"/>
        <v>11</v>
      </c>
      <c r="Q8" s="18" t="str">
        <f t="shared" si="0"/>
        <v xml:space="preserve"> </v>
      </c>
      <c r="R8" s="9" t="s">
        <v>22</v>
      </c>
      <c r="T8" s="2" t="s">
        <v>25</v>
      </c>
      <c r="U8" s="2">
        <v>3</v>
      </c>
    </row>
    <row r="9" spans="1:21" ht="24" customHeight="1" thickBot="1" x14ac:dyDescent="0.45">
      <c r="A9" s="15">
        <v>6</v>
      </c>
      <c r="B9" s="19" t="s">
        <v>35</v>
      </c>
      <c r="C9" s="21">
        <v>3</v>
      </c>
      <c r="D9" s="22">
        <v>5</v>
      </c>
      <c r="E9" s="23"/>
      <c r="F9" s="22">
        <v>4.5</v>
      </c>
      <c r="G9" s="23"/>
      <c r="H9" s="22"/>
      <c r="I9" s="23"/>
      <c r="J9" s="22"/>
      <c r="K9" s="23"/>
      <c r="L9" s="22"/>
      <c r="M9" s="23"/>
      <c r="N9" s="22"/>
      <c r="O9" s="23"/>
      <c r="P9" s="1">
        <f t="shared" si="1"/>
        <v>12.5</v>
      </c>
      <c r="Q9" s="18" t="str">
        <f t="shared" si="0"/>
        <v xml:space="preserve"> </v>
      </c>
      <c r="R9" s="1"/>
      <c r="T9" s="3" t="s">
        <v>26</v>
      </c>
      <c r="U9" s="3" t="s">
        <v>12</v>
      </c>
    </row>
    <row r="10" spans="1:21" ht="24" customHeight="1" thickBot="1" x14ac:dyDescent="0.45">
      <c r="A10" s="15">
        <v>7</v>
      </c>
      <c r="B10" s="19" t="s">
        <v>36</v>
      </c>
      <c r="C10" s="21">
        <v>2.5</v>
      </c>
      <c r="D10" s="22">
        <v>5</v>
      </c>
      <c r="E10" s="23"/>
      <c r="F10" s="22">
        <v>5</v>
      </c>
      <c r="G10" s="23"/>
      <c r="H10" s="22"/>
      <c r="I10" s="23"/>
      <c r="J10" s="22"/>
      <c r="K10" s="23"/>
      <c r="L10" s="22"/>
      <c r="M10" s="23"/>
      <c r="N10" s="22"/>
      <c r="O10" s="23"/>
      <c r="P10" s="1">
        <f t="shared" si="1"/>
        <v>12.5</v>
      </c>
      <c r="Q10" s="18" t="str">
        <f t="shared" si="0"/>
        <v xml:space="preserve"> </v>
      </c>
      <c r="R10" s="2" t="s">
        <v>14</v>
      </c>
      <c r="T10" s="5" t="s">
        <v>27</v>
      </c>
      <c r="U10" s="5">
        <v>4</v>
      </c>
    </row>
    <row r="11" spans="1:21" ht="24" customHeight="1" thickBot="1" x14ac:dyDescent="0.45">
      <c r="A11" s="15">
        <v>8</v>
      </c>
      <c r="B11" s="19" t="s">
        <v>37</v>
      </c>
      <c r="C11" s="21"/>
      <c r="D11" s="22"/>
      <c r="E11" s="23"/>
      <c r="F11" s="22">
        <v>4.5</v>
      </c>
      <c r="G11" s="23"/>
      <c r="H11" s="22"/>
      <c r="I11" s="23"/>
      <c r="J11" s="22"/>
      <c r="K11" s="23"/>
      <c r="L11" s="22"/>
      <c r="M11" s="23"/>
      <c r="N11" s="22"/>
      <c r="O11" s="23"/>
      <c r="P11" s="1">
        <f t="shared" si="1"/>
        <v>4.5</v>
      </c>
      <c r="Q11" s="18" t="str">
        <f t="shared" si="0"/>
        <v xml:space="preserve"> </v>
      </c>
      <c r="R11" s="1"/>
      <c r="T11" s="6" t="s">
        <v>28</v>
      </c>
      <c r="U11" s="6" t="s">
        <v>13</v>
      </c>
    </row>
    <row r="12" spans="1:21" ht="24" customHeight="1" thickBot="1" x14ac:dyDescent="0.45">
      <c r="A12" s="15">
        <v>9</v>
      </c>
      <c r="B12" s="19" t="s">
        <v>38</v>
      </c>
      <c r="C12" s="21"/>
      <c r="D12" s="22"/>
      <c r="E12" s="23"/>
      <c r="F12" s="22">
        <v>4.5</v>
      </c>
      <c r="G12" s="23"/>
      <c r="H12" s="22"/>
      <c r="I12" s="23"/>
      <c r="J12" s="22"/>
      <c r="K12" s="23"/>
      <c r="L12" s="22"/>
      <c r="M12" s="23"/>
      <c r="N12" s="22"/>
      <c r="O12" s="23"/>
      <c r="P12" s="1">
        <f t="shared" si="1"/>
        <v>4.5</v>
      </c>
      <c r="Q12" s="18" t="str">
        <f t="shared" si="0"/>
        <v xml:space="preserve"> </v>
      </c>
      <c r="R12" s="7" t="s">
        <v>7</v>
      </c>
      <c r="T12" s="7" t="s">
        <v>29</v>
      </c>
      <c r="U12" s="7">
        <v>5</v>
      </c>
    </row>
    <row r="13" spans="1:21" ht="24" customHeight="1" thickBot="1" x14ac:dyDescent="0.45">
      <c r="A13" s="15">
        <v>10</v>
      </c>
      <c r="B13" s="19" t="s">
        <v>39</v>
      </c>
      <c r="C13" s="21"/>
      <c r="D13" s="22">
        <v>5</v>
      </c>
      <c r="E13" s="23"/>
      <c r="F13" s="22"/>
      <c r="G13" s="23"/>
      <c r="H13" s="22"/>
      <c r="I13" s="23"/>
      <c r="J13" s="22"/>
      <c r="K13" s="23"/>
      <c r="L13" s="22"/>
      <c r="M13" s="23"/>
      <c r="N13" s="22"/>
      <c r="O13" s="23"/>
      <c r="P13" s="1">
        <f t="shared" si="1"/>
        <v>5</v>
      </c>
      <c r="Q13" s="18" t="str">
        <f t="shared" si="0"/>
        <v xml:space="preserve"> </v>
      </c>
      <c r="R13" s="1"/>
    </row>
    <row r="14" spans="1:21" ht="24" customHeight="1" thickBot="1" x14ac:dyDescent="0.45">
      <c r="A14" s="15">
        <v>11</v>
      </c>
      <c r="B14" s="19" t="s">
        <v>40</v>
      </c>
      <c r="C14" s="21"/>
      <c r="D14" s="22">
        <v>5</v>
      </c>
      <c r="E14" s="23"/>
      <c r="F14" s="22">
        <v>5</v>
      </c>
      <c r="G14" s="23"/>
      <c r="H14" s="22"/>
      <c r="I14" s="23"/>
      <c r="J14" s="22"/>
      <c r="K14" s="23"/>
      <c r="L14" s="22"/>
      <c r="M14" s="23"/>
      <c r="N14" s="22"/>
      <c r="O14" s="23"/>
      <c r="P14" s="1">
        <f t="shared" si="1"/>
        <v>10</v>
      </c>
      <c r="Q14" s="18" t="str">
        <f t="shared" si="0"/>
        <v xml:space="preserve"> </v>
      </c>
      <c r="R14" s="10" t="s">
        <v>8</v>
      </c>
    </row>
    <row r="15" spans="1:21" ht="24" customHeight="1" thickBot="1" x14ac:dyDescent="0.45">
      <c r="A15" s="15">
        <v>12</v>
      </c>
      <c r="B15" s="19" t="s">
        <v>41</v>
      </c>
      <c r="C15" s="21">
        <v>3</v>
      </c>
      <c r="D15" s="22">
        <v>5</v>
      </c>
      <c r="E15" s="23"/>
      <c r="F15" s="22">
        <v>4.5</v>
      </c>
      <c r="G15" s="23"/>
      <c r="H15" s="22">
        <v>5</v>
      </c>
      <c r="I15" s="23">
        <v>10</v>
      </c>
      <c r="J15" s="22"/>
      <c r="K15" s="23"/>
      <c r="L15" s="22"/>
      <c r="M15" s="23">
        <v>4.5</v>
      </c>
      <c r="N15" s="22"/>
      <c r="O15" s="23">
        <v>10</v>
      </c>
      <c r="P15" s="1">
        <f t="shared" si="1"/>
        <v>42</v>
      </c>
      <c r="Q15" s="18" t="str">
        <f t="shared" si="0"/>
        <v xml:space="preserve"> </v>
      </c>
      <c r="R15" s="1"/>
    </row>
    <row r="16" spans="1:21" ht="24" customHeight="1" thickBot="1" x14ac:dyDescent="0.45">
      <c r="A16" s="15">
        <v>13</v>
      </c>
      <c r="B16" s="19" t="s">
        <v>42</v>
      </c>
      <c r="C16" s="21">
        <v>2</v>
      </c>
      <c r="D16" s="22">
        <v>5</v>
      </c>
      <c r="E16" s="23"/>
      <c r="F16" s="22">
        <v>5</v>
      </c>
      <c r="G16" s="23"/>
      <c r="H16" s="22"/>
      <c r="I16" s="23"/>
      <c r="J16" s="22"/>
      <c r="K16" s="23"/>
      <c r="L16" s="22"/>
      <c r="M16" s="23"/>
      <c r="N16" s="22"/>
      <c r="O16" s="23"/>
      <c r="P16" s="1">
        <f t="shared" si="1"/>
        <v>12</v>
      </c>
      <c r="Q16" s="18" t="str">
        <f t="shared" si="0"/>
        <v xml:space="preserve"> </v>
      </c>
      <c r="R16" s="16" t="s">
        <v>18</v>
      </c>
    </row>
    <row r="17" spans="1:18" ht="24" customHeight="1" thickBot="1" x14ac:dyDescent="0.45">
      <c r="A17" s="15">
        <v>14</v>
      </c>
      <c r="B17" s="19" t="s">
        <v>43</v>
      </c>
      <c r="C17" s="21">
        <v>0.5</v>
      </c>
      <c r="D17" s="22">
        <v>5</v>
      </c>
      <c r="E17" s="23"/>
      <c r="F17" s="22">
        <v>4.5</v>
      </c>
      <c r="G17" s="23"/>
      <c r="H17" s="22"/>
      <c r="I17" s="23"/>
      <c r="J17" s="22"/>
      <c r="K17" s="23"/>
      <c r="L17" s="22"/>
      <c r="M17" s="23"/>
      <c r="N17" s="22"/>
      <c r="O17" s="23"/>
      <c r="P17" s="1">
        <f t="shared" si="1"/>
        <v>10</v>
      </c>
      <c r="Q17" s="18" t="str">
        <f t="shared" si="0"/>
        <v xml:space="preserve"> </v>
      </c>
      <c r="R17" s="8"/>
    </row>
    <row r="18" spans="1:18" ht="24" customHeight="1" thickBot="1" x14ac:dyDescent="0.45">
      <c r="A18" s="15">
        <v>15</v>
      </c>
      <c r="B18" s="20" t="s">
        <v>44</v>
      </c>
      <c r="C18" s="21">
        <v>4.5</v>
      </c>
      <c r="D18" s="22">
        <v>5</v>
      </c>
      <c r="E18" s="23"/>
      <c r="F18" s="22">
        <v>5</v>
      </c>
      <c r="G18" s="23"/>
      <c r="H18" s="22"/>
      <c r="I18" s="23"/>
      <c r="J18" s="22"/>
      <c r="K18" s="23"/>
      <c r="L18" s="22"/>
      <c r="M18" s="23"/>
      <c r="N18" s="22"/>
      <c r="O18" s="23"/>
      <c r="P18" s="1">
        <f t="shared" si="1"/>
        <v>14.5</v>
      </c>
      <c r="Q18" s="18" t="str">
        <f t="shared" si="0"/>
        <v xml:space="preserve"> </v>
      </c>
      <c r="R18" s="1"/>
    </row>
    <row r="19" spans="1:18" ht="24" customHeight="1" thickBot="1" x14ac:dyDescent="0.45">
      <c r="A19" s="15">
        <v>16</v>
      </c>
      <c r="B19" s="19" t="s">
        <v>45</v>
      </c>
      <c r="C19" s="21">
        <v>2.5</v>
      </c>
      <c r="D19" s="22">
        <v>5</v>
      </c>
      <c r="E19" s="23">
        <v>9</v>
      </c>
      <c r="F19" s="22">
        <v>5</v>
      </c>
      <c r="G19" s="23">
        <v>9</v>
      </c>
      <c r="H19" s="22">
        <v>5</v>
      </c>
      <c r="I19" s="23">
        <v>9</v>
      </c>
      <c r="J19" s="22">
        <v>5</v>
      </c>
      <c r="K19" s="23">
        <v>9</v>
      </c>
      <c r="L19" s="22">
        <v>4.5</v>
      </c>
      <c r="M19" s="23">
        <v>9</v>
      </c>
      <c r="N19" s="22">
        <v>5</v>
      </c>
      <c r="O19" s="23"/>
      <c r="P19" s="1">
        <f t="shared" si="1"/>
        <v>77</v>
      </c>
      <c r="Q19" s="18" t="str">
        <f t="shared" si="0"/>
        <v>db+</v>
      </c>
      <c r="R19" s="8"/>
    </row>
    <row r="20" spans="1:18" ht="24" customHeight="1" thickBot="1" x14ac:dyDescent="0.45">
      <c r="A20" s="15">
        <v>17</v>
      </c>
      <c r="B20" s="19" t="s">
        <v>46</v>
      </c>
      <c r="C20" s="21">
        <v>1</v>
      </c>
      <c r="D20" s="22">
        <v>4.5</v>
      </c>
      <c r="E20" s="23"/>
      <c r="F20" s="22">
        <v>5</v>
      </c>
      <c r="G20" s="23"/>
      <c r="H20" s="22">
        <v>5</v>
      </c>
      <c r="I20" s="23">
        <v>5</v>
      </c>
      <c r="J20" s="22"/>
      <c r="K20" s="23">
        <v>5</v>
      </c>
      <c r="L20" s="22">
        <v>5</v>
      </c>
      <c r="M20" s="23"/>
      <c r="N20" s="22">
        <v>5</v>
      </c>
      <c r="O20" s="23">
        <v>5</v>
      </c>
      <c r="P20" s="1">
        <f t="shared" si="1"/>
        <v>40.5</v>
      </c>
      <c r="Q20" s="18" t="str">
        <f t="shared" si="0"/>
        <v>dost</v>
      </c>
      <c r="R20" s="1"/>
    </row>
    <row r="21" spans="1:18" ht="24" customHeight="1" x14ac:dyDescent="0.3"/>
    <row r="22" spans="1:18" ht="24" customHeight="1" x14ac:dyDescent="0.3"/>
    <row r="23" spans="1:18" ht="24" customHeight="1" x14ac:dyDescent="0.3"/>
  </sheetData>
  <sortState xmlns:xlrd2="http://schemas.microsoft.com/office/spreadsheetml/2017/richdata2" ref="B4:E25">
    <sortCondition ref="B4:B25"/>
  </sortState>
  <mergeCells count="13">
    <mergeCell ref="P1:P3"/>
    <mergeCell ref="Q1:Q3"/>
    <mergeCell ref="R1:R3"/>
    <mergeCell ref="B1:B3"/>
    <mergeCell ref="A1:A3"/>
    <mergeCell ref="C1:C3"/>
    <mergeCell ref="D2:E2"/>
    <mergeCell ref="D1:O1"/>
    <mergeCell ref="H2:I2"/>
    <mergeCell ref="J2:K2"/>
    <mergeCell ref="L2:M2"/>
    <mergeCell ref="N2:O2"/>
    <mergeCell ref="F2:G2"/>
  </mergeCells>
  <conditionalFormatting sqref="B5:B20">
    <cfRule type="containsText" dxfId="0" priority="1" operator="containsText" text="Anielska Martyna">
      <formula>NOT(ISERROR(SEARCH("Anielska Martyna",B5)))</formula>
    </cfRule>
  </conditionalFormatting>
  <dataValidations count="4">
    <dataValidation type="custom" allowBlank="1" showInputMessage="1" showErrorMessage="1" error="Jedna z wartości (plus lub minus): 0,5 lub 1 lub 1,5, ..., lub 9,5 lub 10" sqref="C4" xr:uid="{B60808C2-6FD6-4EA0-8568-1A417B0EF514}">
      <formula1>AND(ABS(C4)&lt;=10,OR(C4-INT(C4)=0,C4-INT(C4)=0.5))</formula1>
    </dataValidation>
    <dataValidation type="list" allowBlank="1" showInputMessage="1" showErrorMessage="1" error="Jedna z wartości: 4,5 lub 5" sqref="J4:J20 L4:L20 N4:N20 F4:F20 D4:D20 H4:H20" xr:uid="{E72C7B3B-4AF4-4250-BB3F-3D90A560FAB1}">
      <mc:AlternateContent xmlns:x12ac="http://schemas.microsoft.com/office/spreadsheetml/2011/1/ac" xmlns:mc="http://schemas.openxmlformats.org/markup-compatibility/2006">
        <mc:Choice Requires="x12ac">
          <x12ac:list>"4,5",5</x12ac:list>
        </mc:Choice>
        <mc:Fallback>
          <formula1>"4,5,5"</formula1>
        </mc:Fallback>
      </mc:AlternateContent>
    </dataValidation>
    <dataValidation type="list" allowBlank="1" showInputMessage="1" showErrorMessage="1" error="Liczba z przedziału od 0 do 10 z krokiem 0,5" sqref="K4:K20 M4:M20 O4:O20 G4:G20 E4:E20 I4:I20" xr:uid="{526FE6EA-ED72-4EBE-9E2C-02A8E601E3B3}">
      <mc:AlternateContent xmlns:x12ac="http://schemas.microsoft.com/office/spreadsheetml/2011/1/ac" xmlns:mc="http://schemas.openxmlformats.org/markup-compatibility/2006">
        <mc:Choice Requires="x12ac">
          <x12ac:list>"0,5",1,"1,5",2,"2,5",3,"3,5",4,"4,5",5,"5,5",6,"6,5",7,"7,5",8,"8,5",9,"9,5",10</x12ac:list>
        </mc:Choice>
        <mc:Fallback>
          <formula1>"0,5,1,1,5,2,2,5,3,3,5,4,4,5,5,5,5,6,6,5,7,7,5,8,8,5,9,9,5,10"</formula1>
        </mc:Fallback>
      </mc:AlternateContent>
    </dataValidation>
    <dataValidation type="custom" allowBlank="1" showInputMessage="1" showErrorMessage="1" error="Jedna z wartości: 0,5 lub 1 lub 1,5, ..., lub 9,5 lub 10" sqref="C5:C20" xr:uid="{E6B5985A-746E-4110-99E9-4C400C193139}">
      <formula1>AND(ABS(C5)&lt;=10,OR(C5-INT(C5)=0,C5-INT(C5)=0.5))</formula1>
    </dataValidation>
  </dataValidations>
  <pageMargins left="0.25" right="0.25" top="0.75" bottom="0.75" header="0.3" footer="0.3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CFBC9-1742-41D5-98EE-5DA8089F8EF2}">
  <dimension ref="A1:B17"/>
  <sheetViews>
    <sheetView workbookViewId="0">
      <selection activeCell="D14" sqref="D14"/>
    </sheetView>
  </sheetViews>
  <sheetFormatPr defaultRowHeight="14.4" x14ac:dyDescent="0.3"/>
  <sheetData>
    <row r="1" spans="1:2" x14ac:dyDescent="0.3">
      <c r="A1">
        <v>1</v>
      </c>
      <c r="B1">
        <v>100201</v>
      </c>
    </row>
    <row r="2" spans="1:2" x14ac:dyDescent="0.3">
      <c r="A2">
        <v>2</v>
      </c>
      <c r="B2">
        <v>100202</v>
      </c>
    </row>
    <row r="3" spans="1:2" x14ac:dyDescent="0.3">
      <c r="A3">
        <v>3</v>
      </c>
      <c r="B3">
        <v>100203</v>
      </c>
    </row>
    <row r="4" spans="1:2" x14ac:dyDescent="0.3">
      <c r="A4">
        <v>4</v>
      </c>
      <c r="B4">
        <v>100204</v>
      </c>
    </row>
    <row r="5" spans="1:2" x14ac:dyDescent="0.3">
      <c r="A5">
        <v>5</v>
      </c>
      <c r="B5">
        <v>100205</v>
      </c>
    </row>
    <row r="6" spans="1:2" x14ac:dyDescent="0.3">
      <c r="A6">
        <v>6</v>
      </c>
      <c r="B6">
        <v>100206</v>
      </c>
    </row>
    <row r="7" spans="1:2" x14ac:dyDescent="0.3">
      <c r="A7">
        <v>7</v>
      </c>
      <c r="B7">
        <v>100207</v>
      </c>
    </row>
    <row r="8" spans="1:2" x14ac:dyDescent="0.3">
      <c r="A8">
        <v>8</v>
      </c>
      <c r="B8">
        <v>100208</v>
      </c>
    </row>
    <row r="9" spans="1:2" x14ac:dyDescent="0.3">
      <c r="A9">
        <v>9</v>
      </c>
      <c r="B9">
        <v>100209</v>
      </c>
    </row>
    <row r="10" spans="1:2" x14ac:dyDescent="0.3">
      <c r="A10">
        <v>10</v>
      </c>
      <c r="B10">
        <v>100210</v>
      </c>
    </row>
    <row r="11" spans="1:2" x14ac:dyDescent="0.3">
      <c r="A11">
        <v>11</v>
      </c>
      <c r="B11">
        <v>100211</v>
      </c>
    </row>
    <row r="12" spans="1:2" x14ac:dyDescent="0.3">
      <c r="A12">
        <v>12</v>
      </c>
      <c r="B12">
        <v>100212</v>
      </c>
    </row>
    <row r="13" spans="1:2" x14ac:dyDescent="0.3">
      <c r="A13">
        <v>13</v>
      </c>
      <c r="B13">
        <v>100213</v>
      </c>
    </row>
    <row r="14" spans="1:2" x14ac:dyDescent="0.3">
      <c r="A14">
        <v>14</v>
      </c>
      <c r="B14">
        <v>100214</v>
      </c>
    </row>
    <row r="15" spans="1:2" x14ac:dyDescent="0.3">
      <c r="A15">
        <v>15</v>
      </c>
      <c r="B15">
        <v>100215</v>
      </c>
    </row>
    <row r="16" spans="1:2" x14ac:dyDescent="0.3">
      <c r="A16">
        <v>16</v>
      </c>
      <c r="B16">
        <v>100216</v>
      </c>
    </row>
    <row r="17" spans="1:2" x14ac:dyDescent="0.3">
      <c r="A17">
        <v>17</v>
      </c>
      <c r="B17">
        <v>100217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Mariusz Pleszczyński</cp:lastModifiedBy>
  <cp:lastPrinted>2025-10-23T07:55:26Z</cp:lastPrinted>
  <dcterms:created xsi:type="dcterms:W3CDTF">2016-10-17T07:57:10Z</dcterms:created>
  <dcterms:modified xsi:type="dcterms:W3CDTF">2026-02-16T21:59:57Z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cd0ff9d0-3cda-494d-98aa-22d3352f8e3d</vt:lpwstr>
  </property>
</Properties>
</file>